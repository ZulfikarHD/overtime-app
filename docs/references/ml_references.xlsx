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5. INOVASI\TKMPN 2026\"/>
    </mc:Choice>
  </mc:AlternateContent>
  <xr:revisionPtr revIDLastSave="0" documentId="13_ncr:1_{83426FAE-B6E9-4C13-B0C6-67C05A6CEB97}" xr6:coauthVersionLast="47" xr6:coauthVersionMax="47" xr10:uidLastSave="{00000000-0000-0000-0000-000000000000}"/>
  <bookViews>
    <workbookView xWindow="-110" yWindow="-110" windowWidth="19420" windowHeight="10300" tabRatio="810" xr2:uid="{00000000-000D-0000-FFFF-FFFF00000000}"/>
  </bookViews>
  <sheets>
    <sheet name="Summary" sheetId="1" r:id="rId1"/>
    <sheet name="Data" sheetId="2" r:id="rId2"/>
    <sheet name="Korelasi Pearson" sheetId="3" r:id="rId3"/>
    <sheet name="Regresi" sheetId="4" r:id="rId4"/>
    <sheet name="Uji Asumsi Klasik" sheetId="5" r:id="rId5"/>
    <sheet name="Index Ideal" sheetId="6" r:id="rId6"/>
    <sheet name="Grafik" sheetId="9" r:id="rId7"/>
    <sheet name="Forecasting" sheetId="7" r:id="rId8"/>
    <sheet name="Lead Closing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4" i="5" l="1"/>
  <c r="D4" i="8"/>
  <c r="D3" i="8"/>
  <c r="C3" i="8"/>
  <c r="G3" i="8" s="1"/>
  <c r="H3" i="8" s="1"/>
  <c r="J8" i="7"/>
  <c r="J7" i="7"/>
  <c r="J6" i="7"/>
  <c r="J5" i="7"/>
  <c r="F60" i="5"/>
  <c r="F61" i="5"/>
  <c r="F62" i="5"/>
  <c r="C4" i="8" l="1"/>
  <c r="G4" i="8" s="1"/>
  <c r="H4" i="8" s="1"/>
  <c r="F32" i="6"/>
  <c r="E32" i="6"/>
  <c r="D32" i="6"/>
  <c r="C32" i="6"/>
  <c r="A32" i="6"/>
  <c r="E31" i="6"/>
  <c r="K31" i="6" s="1"/>
  <c r="D31" i="6"/>
  <c r="L31" i="6" s="1"/>
  <c r="C31" i="6"/>
  <c r="A31" i="6"/>
  <c r="K30" i="6"/>
  <c r="E30" i="6"/>
  <c r="D30" i="6"/>
  <c r="L30" i="6" s="1"/>
  <c r="C30" i="6"/>
  <c r="A30" i="6"/>
  <c r="F29" i="6"/>
  <c r="E29" i="6"/>
  <c r="D29" i="6"/>
  <c r="C29" i="6"/>
  <c r="A29" i="6"/>
  <c r="E28" i="6"/>
  <c r="K28" i="6" s="1"/>
  <c r="D28" i="6"/>
  <c r="L28" i="6" s="1"/>
  <c r="C28" i="6"/>
  <c r="A28" i="6"/>
  <c r="K27" i="6"/>
  <c r="F27" i="6"/>
  <c r="E27" i="6"/>
  <c r="D27" i="6"/>
  <c r="L27" i="6" s="1"/>
  <c r="C27" i="6"/>
  <c r="A27" i="6"/>
  <c r="K26" i="6"/>
  <c r="F26" i="6"/>
  <c r="E26" i="6"/>
  <c r="D26" i="6"/>
  <c r="L26" i="6" s="1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K22" i="6" s="1"/>
  <c r="D22" i="6"/>
  <c r="L22" i="6" s="1"/>
  <c r="C22" i="6"/>
  <c r="B22" i="6"/>
  <c r="A22" i="6"/>
  <c r="K21" i="6"/>
  <c r="F21" i="6"/>
  <c r="E21" i="6"/>
  <c r="D21" i="6"/>
  <c r="L21" i="6" s="1"/>
  <c r="C21" i="6"/>
  <c r="B21" i="6"/>
  <c r="A21" i="6"/>
  <c r="K20" i="6"/>
  <c r="F20" i="6"/>
  <c r="E20" i="6"/>
  <c r="D20" i="6"/>
  <c r="C20" i="6"/>
  <c r="B20" i="6"/>
  <c r="A20" i="6"/>
  <c r="F19" i="6"/>
  <c r="E19" i="6"/>
  <c r="K19" i="6" s="1"/>
  <c r="D19" i="6"/>
  <c r="L19" i="6" s="1"/>
  <c r="C19" i="6"/>
  <c r="B19" i="6"/>
  <c r="A19" i="6"/>
  <c r="K18" i="6"/>
  <c r="F18" i="6"/>
  <c r="E18" i="6"/>
  <c r="D18" i="6"/>
  <c r="L18" i="6" s="1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L15" i="6"/>
  <c r="F15" i="6"/>
  <c r="E15" i="6"/>
  <c r="D15" i="6"/>
  <c r="C15" i="6"/>
  <c r="B15" i="6"/>
  <c r="A15" i="6"/>
  <c r="L14" i="6"/>
  <c r="K14" i="6"/>
  <c r="F14" i="6"/>
  <c r="E14" i="6"/>
  <c r="D14" i="6"/>
  <c r="C14" i="6"/>
  <c r="B14" i="6"/>
  <c r="A14" i="6"/>
  <c r="L13" i="6"/>
  <c r="K13" i="6"/>
  <c r="F13" i="6"/>
  <c r="E13" i="6"/>
  <c r="D13" i="6"/>
  <c r="C13" i="6"/>
  <c r="B13" i="6"/>
  <c r="A13" i="6"/>
  <c r="K12" i="6"/>
  <c r="F12" i="6"/>
  <c r="E12" i="6"/>
  <c r="D12" i="6"/>
  <c r="C12" i="6"/>
  <c r="B12" i="6"/>
  <c r="A12" i="6"/>
  <c r="F11" i="6"/>
  <c r="E11" i="6"/>
  <c r="D11" i="6"/>
  <c r="L11" i="6" s="1"/>
  <c r="C11" i="6"/>
  <c r="B11" i="6"/>
  <c r="A11" i="6"/>
  <c r="K10" i="6"/>
  <c r="F10" i="6"/>
  <c r="E10" i="6"/>
  <c r="D10" i="6"/>
  <c r="L10" i="6" s="1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K6" i="6"/>
  <c r="F6" i="6"/>
  <c r="E6" i="6"/>
  <c r="D6" i="6"/>
  <c r="L6" i="6" s="1"/>
  <c r="C6" i="6"/>
  <c r="B6" i="6"/>
  <c r="A6" i="6"/>
  <c r="K5" i="6"/>
  <c r="F5" i="6"/>
  <c r="E5" i="6"/>
  <c r="D5" i="6"/>
  <c r="L5" i="6" s="1"/>
  <c r="C5" i="6"/>
  <c r="B5" i="6"/>
  <c r="A5" i="6"/>
  <c r="K4" i="6"/>
  <c r="F4" i="6"/>
  <c r="E4" i="6"/>
  <c r="D4" i="6"/>
  <c r="C4" i="6"/>
  <c r="B4" i="6"/>
  <c r="A4" i="6"/>
  <c r="F3" i="6"/>
  <c r="E3" i="6"/>
  <c r="D3" i="6"/>
  <c r="L3" i="6" s="1"/>
  <c r="C3" i="6"/>
  <c r="B3" i="6"/>
  <c r="A3" i="6"/>
  <c r="B54" i="5"/>
  <c r="B53" i="5"/>
  <c r="D79" i="5" s="1"/>
  <c r="B41" i="5"/>
  <c r="P34" i="5"/>
  <c r="O34" i="5"/>
  <c r="N34" i="5"/>
  <c r="M34" i="5"/>
  <c r="L34" i="5"/>
  <c r="K34" i="5"/>
  <c r="C34" i="5"/>
  <c r="B34" i="5"/>
  <c r="A34" i="5"/>
  <c r="P33" i="5"/>
  <c r="O33" i="5"/>
  <c r="N33" i="5"/>
  <c r="M33" i="5"/>
  <c r="L33" i="5"/>
  <c r="K33" i="5"/>
  <c r="C33" i="5"/>
  <c r="B33" i="5"/>
  <c r="A33" i="5"/>
  <c r="P32" i="5"/>
  <c r="O32" i="5"/>
  <c r="N32" i="5"/>
  <c r="M32" i="5"/>
  <c r="L32" i="5"/>
  <c r="K32" i="5"/>
  <c r="C32" i="5"/>
  <c r="B32" i="5"/>
  <c r="A32" i="5"/>
  <c r="P31" i="5"/>
  <c r="O31" i="5"/>
  <c r="N31" i="5"/>
  <c r="M31" i="5"/>
  <c r="L31" i="5"/>
  <c r="K31" i="5"/>
  <c r="C31" i="5"/>
  <c r="B31" i="5"/>
  <c r="A31" i="5"/>
  <c r="P30" i="5"/>
  <c r="O30" i="5"/>
  <c r="N30" i="5"/>
  <c r="M30" i="5"/>
  <c r="L30" i="5"/>
  <c r="K30" i="5"/>
  <c r="C30" i="5"/>
  <c r="B30" i="5"/>
  <c r="A30" i="5"/>
  <c r="P29" i="5"/>
  <c r="O29" i="5"/>
  <c r="N29" i="5"/>
  <c r="M29" i="5"/>
  <c r="L29" i="5"/>
  <c r="K29" i="5"/>
  <c r="C29" i="5"/>
  <c r="B29" i="5"/>
  <c r="A29" i="5"/>
  <c r="P28" i="5"/>
  <c r="O28" i="5"/>
  <c r="N28" i="5"/>
  <c r="M28" i="5"/>
  <c r="L28" i="5"/>
  <c r="K28" i="5"/>
  <c r="C28" i="5"/>
  <c r="B28" i="5"/>
  <c r="A28" i="5"/>
  <c r="P27" i="5"/>
  <c r="O27" i="5"/>
  <c r="N27" i="5"/>
  <c r="M27" i="5"/>
  <c r="L27" i="5"/>
  <c r="K27" i="5"/>
  <c r="C27" i="5"/>
  <c r="B27" i="5"/>
  <c r="A27" i="5"/>
  <c r="P26" i="5"/>
  <c r="O26" i="5"/>
  <c r="N26" i="5"/>
  <c r="M26" i="5"/>
  <c r="L26" i="5"/>
  <c r="K26" i="5"/>
  <c r="C26" i="5"/>
  <c r="B26" i="5"/>
  <c r="A26" i="5"/>
  <c r="P25" i="5"/>
  <c r="O25" i="5"/>
  <c r="N25" i="5"/>
  <c r="M25" i="5"/>
  <c r="L25" i="5"/>
  <c r="K25" i="5"/>
  <c r="C25" i="5"/>
  <c r="B25" i="5"/>
  <c r="A25" i="5"/>
  <c r="P24" i="5"/>
  <c r="O24" i="5"/>
  <c r="N24" i="5"/>
  <c r="M24" i="5"/>
  <c r="L24" i="5"/>
  <c r="K24" i="5"/>
  <c r="C24" i="5"/>
  <c r="B24" i="5"/>
  <c r="A24" i="5"/>
  <c r="P23" i="5"/>
  <c r="O23" i="5"/>
  <c r="N23" i="5"/>
  <c r="M23" i="5"/>
  <c r="L23" i="5"/>
  <c r="K23" i="5"/>
  <c r="C23" i="5"/>
  <c r="B23" i="5"/>
  <c r="A23" i="5"/>
  <c r="P22" i="5"/>
  <c r="O22" i="5"/>
  <c r="N22" i="5"/>
  <c r="M22" i="5"/>
  <c r="L22" i="5"/>
  <c r="K22" i="5"/>
  <c r="C22" i="5"/>
  <c r="B22" i="5"/>
  <c r="A22" i="5"/>
  <c r="P21" i="5"/>
  <c r="O21" i="5"/>
  <c r="N21" i="5"/>
  <c r="M21" i="5"/>
  <c r="L21" i="5"/>
  <c r="K21" i="5"/>
  <c r="C21" i="5"/>
  <c r="B21" i="5"/>
  <c r="A21" i="5"/>
  <c r="P20" i="5"/>
  <c r="O20" i="5"/>
  <c r="N20" i="5"/>
  <c r="M20" i="5"/>
  <c r="L20" i="5"/>
  <c r="K20" i="5"/>
  <c r="C20" i="5"/>
  <c r="B20" i="5"/>
  <c r="A20" i="5"/>
  <c r="P19" i="5"/>
  <c r="O19" i="5"/>
  <c r="N19" i="5"/>
  <c r="M19" i="5"/>
  <c r="L19" i="5"/>
  <c r="K19" i="5"/>
  <c r="C19" i="5"/>
  <c r="B19" i="5"/>
  <c r="A19" i="5"/>
  <c r="P18" i="5"/>
  <c r="O18" i="5"/>
  <c r="N18" i="5"/>
  <c r="M18" i="5"/>
  <c r="L18" i="5"/>
  <c r="K18" i="5"/>
  <c r="C18" i="5"/>
  <c r="B18" i="5"/>
  <c r="A18" i="5"/>
  <c r="P17" i="5"/>
  <c r="O17" i="5"/>
  <c r="N17" i="5"/>
  <c r="M17" i="5"/>
  <c r="L17" i="5"/>
  <c r="K17" i="5"/>
  <c r="C17" i="5"/>
  <c r="B17" i="5"/>
  <c r="A17" i="5"/>
  <c r="P16" i="5"/>
  <c r="O16" i="5"/>
  <c r="N16" i="5"/>
  <c r="M16" i="5"/>
  <c r="L16" i="5"/>
  <c r="K16" i="5"/>
  <c r="C16" i="5"/>
  <c r="B16" i="5"/>
  <c r="A16" i="5"/>
  <c r="P15" i="5"/>
  <c r="O15" i="5"/>
  <c r="N15" i="5"/>
  <c r="M15" i="5"/>
  <c r="L15" i="5"/>
  <c r="K15" i="5"/>
  <c r="C15" i="5"/>
  <c r="B15" i="5"/>
  <c r="A15" i="5"/>
  <c r="P14" i="5"/>
  <c r="O14" i="5"/>
  <c r="N14" i="5"/>
  <c r="M14" i="5"/>
  <c r="L14" i="5"/>
  <c r="K14" i="5"/>
  <c r="C14" i="5"/>
  <c r="B14" i="5"/>
  <c r="A14" i="5"/>
  <c r="P13" i="5"/>
  <c r="O13" i="5"/>
  <c r="N13" i="5"/>
  <c r="M13" i="5"/>
  <c r="L13" i="5"/>
  <c r="K13" i="5"/>
  <c r="C13" i="5"/>
  <c r="B13" i="5"/>
  <c r="A13" i="5"/>
  <c r="P12" i="5"/>
  <c r="O12" i="5"/>
  <c r="N12" i="5"/>
  <c r="M12" i="5"/>
  <c r="L12" i="5"/>
  <c r="K12" i="5"/>
  <c r="C12" i="5"/>
  <c r="B12" i="5"/>
  <c r="A12" i="5"/>
  <c r="P11" i="5"/>
  <c r="O11" i="5"/>
  <c r="N11" i="5"/>
  <c r="M11" i="5"/>
  <c r="L11" i="5"/>
  <c r="K11" i="5"/>
  <c r="C11" i="5"/>
  <c r="B11" i="5"/>
  <c r="A11" i="5"/>
  <c r="P10" i="5"/>
  <c r="O10" i="5"/>
  <c r="N10" i="5"/>
  <c r="M10" i="5"/>
  <c r="L10" i="5"/>
  <c r="K10" i="5"/>
  <c r="C10" i="5"/>
  <c r="B10" i="5"/>
  <c r="A10" i="5"/>
  <c r="P9" i="5"/>
  <c r="O9" i="5"/>
  <c r="N9" i="5"/>
  <c r="M9" i="5"/>
  <c r="L9" i="5"/>
  <c r="K9" i="5"/>
  <c r="C9" i="5"/>
  <c r="B9" i="5"/>
  <c r="A9" i="5"/>
  <c r="P8" i="5"/>
  <c r="O8" i="5"/>
  <c r="N8" i="5"/>
  <c r="M8" i="5"/>
  <c r="L8" i="5"/>
  <c r="K8" i="5"/>
  <c r="C8" i="5"/>
  <c r="B8" i="5"/>
  <c r="A8" i="5"/>
  <c r="P7" i="5"/>
  <c r="O7" i="5"/>
  <c r="N7" i="5"/>
  <c r="M7" i="5"/>
  <c r="L7" i="5"/>
  <c r="K7" i="5"/>
  <c r="C7" i="5"/>
  <c r="B7" i="5"/>
  <c r="A7" i="5"/>
  <c r="P6" i="5"/>
  <c r="O6" i="5"/>
  <c r="N6" i="5"/>
  <c r="M6" i="5"/>
  <c r="L6" i="5"/>
  <c r="K6" i="5"/>
  <c r="C6" i="5"/>
  <c r="B6" i="5"/>
  <c r="A6" i="5"/>
  <c r="P5" i="5"/>
  <c r="O5" i="5"/>
  <c r="N5" i="5"/>
  <c r="M5" i="5"/>
  <c r="L5" i="5"/>
  <c r="K5" i="5"/>
  <c r="C5" i="5"/>
  <c r="B5" i="5"/>
  <c r="A5" i="5"/>
  <c r="B37" i="4"/>
  <c r="B36" i="4"/>
  <c r="A43" i="1" s="1"/>
  <c r="B35" i="4"/>
  <c r="E16" i="4"/>
  <c r="D16" i="4"/>
  <c r="C16" i="4"/>
  <c r="B29" i="4" s="1"/>
  <c r="B16" i="4"/>
  <c r="B28" i="4" s="1"/>
  <c r="E15" i="4"/>
  <c r="D15" i="4"/>
  <c r="C15" i="4"/>
  <c r="B15" i="4"/>
  <c r="E14" i="4"/>
  <c r="D14" i="4"/>
  <c r="C14" i="4"/>
  <c r="B38" i="4" s="1"/>
  <c r="B41" i="1" s="1"/>
  <c r="B14" i="4"/>
  <c r="B34" i="4" s="1"/>
  <c r="B37" i="1" s="1"/>
  <c r="E13" i="4"/>
  <c r="C20" i="4" s="1"/>
  <c r="C31" i="1" s="1"/>
  <c r="D13" i="4"/>
  <c r="C21" i="4" s="1"/>
  <c r="C32" i="1" s="1"/>
  <c r="C13" i="4"/>
  <c r="C22" i="4" s="1"/>
  <c r="B13" i="4"/>
  <c r="C23" i="4" s="1"/>
  <c r="E12" i="4"/>
  <c r="B20" i="4" s="1"/>
  <c r="D12" i="4"/>
  <c r="B21" i="4" s="1"/>
  <c r="C12" i="4"/>
  <c r="B22" i="4" s="1"/>
  <c r="D22" i="4" s="1"/>
  <c r="D33" i="1" s="1"/>
  <c r="B12" i="4"/>
  <c r="B23" i="4" s="1"/>
  <c r="D23" i="4" s="1"/>
  <c r="E23" i="4" s="1"/>
  <c r="B7" i="4"/>
  <c r="B6" i="4"/>
  <c r="F28" i="4" s="1"/>
  <c r="B23" i="1" s="1"/>
  <c r="B4" i="4"/>
  <c r="B26" i="3"/>
  <c r="D26" i="3" s="1"/>
  <c r="D25" i="3"/>
  <c r="C25" i="3"/>
  <c r="B25" i="3"/>
  <c r="D24" i="3"/>
  <c r="B24" i="3"/>
  <c r="C24" i="3" s="1"/>
  <c r="H18" i="3"/>
  <c r="E18" i="3"/>
  <c r="D18" i="3"/>
  <c r="F18" i="3" s="1"/>
  <c r="C18" i="3"/>
  <c r="B18" i="3"/>
  <c r="E17" i="3"/>
  <c r="D17" i="3"/>
  <c r="F17" i="3" s="1"/>
  <c r="C17" i="3"/>
  <c r="C18" i="1" s="1"/>
  <c r="B17" i="3"/>
  <c r="H17" i="3" s="1"/>
  <c r="G18" i="1" s="1"/>
  <c r="E16" i="3"/>
  <c r="D16" i="3"/>
  <c r="D17" i="1" s="1"/>
  <c r="B16" i="3"/>
  <c r="H16" i="3" s="1"/>
  <c r="G17" i="1" s="1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C4" i="3"/>
  <c r="C3" i="3"/>
  <c r="N7" i="2"/>
  <c r="M7" i="2"/>
  <c r="L7" i="2"/>
  <c r="K7" i="2"/>
  <c r="J7" i="2"/>
  <c r="N6" i="2"/>
  <c r="M6" i="2"/>
  <c r="L6" i="2"/>
  <c r="K6" i="2"/>
  <c r="J6" i="2"/>
  <c r="O5" i="2"/>
  <c r="N5" i="2"/>
  <c r="M5" i="2"/>
  <c r="L5" i="2"/>
  <c r="K5" i="2"/>
  <c r="J5" i="2"/>
  <c r="N4" i="2"/>
  <c r="M4" i="2"/>
  <c r="L4" i="2"/>
  <c r="O4" i="2" s="1"/>
  <c r="K4" i="2"/>
  <c r="J4" i="2"/>
  <c r="B76" i="1"/>
  <c r="A76" i="1"/>
  <c r="D75" i="1"/>
  <c r="B75" i="1"/>
  <c r="A75" i="1"/>
  <c r="D74" i="1"/>
  <c r="B74" i="1"/>
  <c r="A74" i="1"/>
  <c r="D73" i="1"/>
  <c r="B73" i="1"/>
  <c r="A73" i="1"/>
  <c r="B72" i="1"/>
  <c r="A72" i="1"/>
  <c r="B40" i="1"/>
  <c r="B39" i="1"/>
  <c r="B38" i="1"/>
  <c r="D34" i="1"/>
  <c r="C34" i="1"/>
  <c r="B34" i="1"/>
  <c r="C33" i="1"/>
  <c r="G19" i="1"/>
  <c r="C19" i="1"/>
  <c r="B19" i="1"/>
  <c r="B18" i="1"/>
  <c r="B17" i="1"/>
  <c r="G17" i="3" l="1"/>
  <c r="F18" i="1" s="1"/>
  <c r="E18" i="1"/>
  <c r="D29" i="4"/>
  <c r="G18" i="3"/>
  <c r="F19" i="1" s="1"/>
  <c r="E19" i="1"/>
  <c r="E34" i="1"/>
  <c r="G23" i="4"/>
  <c r="F34" i="1" s="1"/>
  <c r="G19" i="6"/>
  <c r="G11" i="6"/>
  <c r="G3" i="6"/>
  <c r="F9" i="7"/>
  <c r="G30" i="6"/>
  <c r="G27" i="6"/>
  <c r="G20" i="6"/>
  <c r="G12" i="6"/>
  <c r="G4" i="6"/>
  <c r="F6" i="7"/>
  <c r="G21" i="6"/>
  <c r="G13" i="6"/>
  <c r="G5" i="6"/>
  <c r="A42" i="4"/>
  <c r="D20" i="4"/>
  <c r="F11" i="7"/>
  <c r="G22" i="6"/>
  <c r="G14" i="6"/>
  <c r="G6" i="6"/>
  <c r="F8" i="7"/>
  <c r="G31" i="6"/>
  <c r="G28" i="6"/>
  <c r="G23" i="6"/>
  <c r="G15" i="6"/>
  <c r="G7" i="6"/>
  <c r="D18" i="1"/>
  <c r="C16" i="3"/>
  <c r="C17" i="1" s="1"/>
  <c r="B71" i="5"/>
  <c r="C71" i="5" s="1"/>
  <c r="D71" i="5" s="1"/>
  <c r="E71" i="5" s="1"/>
  <c r="C39" i="6"/>
  <c r="B52" i="1" s="1"/>
  <c r="G9" i="6"/>
  <c r="K15" i="6"/>
  <c r="G25" i="6"/>
  <c r="F23" i="4"/>
  <c r="F22" i="4"/>
  <c r="H22" i="4" s="1"/>
  <c r="F21" i="4"/>
  <c r="H21" i="4" s="1"/>
  <c r="F20" i="4"/>
  <c r="H20" i="4" s="1"/>
  <c r="C29" i="4"/>
  <c r="H5" i="6"/>
  <c r="G10" i="6"/>
  <c r="G16" i="6"/>
  <c r="H16" i="6" s="1"/>
  <c r="H21" i="6"/>
  <c r="G26" i="6"/>
  <c r="L29" i="6"/>
  <c r="K29" i="6"/>
  <c r="G32" i="6"/>
  <c r="H32" i="6" s="1"/>
  <c r="F7" i="7"/>
  <c r="F16" i="3"/>
  <c r="B30" i="4"/>
  <c r="D28" i="4"/>
  <c r="E28" i="4" s="1"/>
  <c r="L17" i="6"/>
  <c r="K17" i="6"/>
  <c r="J17" i="6"/>
  <c r="H27" i="6"/>
  <c r="G29" i="6"/>
  <c r="B72" i="5"/>
  <c r="C72" i="5" s="1"/>
  <c r="D72" i="5" s="1"/>
  <c r="E72" i="5" s="1"/>
  <c r="K7" i="6"/>
  <c r="J7" i="6"/>
  <c r="H7" i="6"/>
  <c r="O7" i="6" s="1"/>
  <c r="B46" i="1"/>
  <c r="G17" i="6"/>
  <c r="K23" i="6"/>
  <c r="H23" i="6"/>
  <c r="O23" i="6" s="1"/>
  <c r="H29" i="6"/>
  <c r="O29" i="6" s="1"/>
  <c r="H4" i="6"/>
  <c r="L16" i="6"/>
  <c r="K16" i="6"/>
  <c r="H20" i="6"/>
  <c r="L32" i="6"/>
  <c r="K32" i="6"/>
  <c r="B70" i="5"/>
  <c r="C70" i="5" s="1"/>
  <c r="D70" i="5" s="1"/>
  <c r="L7" i="6"/>
  <c r="L8" i="6"/>
  <c r="K8" i="6"/>
  <c r="H8" i="6"/>
  <c r="O8" i="6" s="1"/>
  <c r="H17" i="6"/>
  <c r="O17" i="6" s="1"/>
  <c r="L23" i="6"/>
  <c r="L24" i="6"/>
  <c r="K24" i="6"/>
  <c r="H24" i="6"/>
  <c r="O24" i="6" s="1"/>
  <c r="O7" i="2"/>
  <c r="D21" i="4"/>
  <c r="B32" i="1"/>
  <c r="D19" i="1"/>
  <c r="B31" i="1"/>
  <c r="B33" i="1"/>
  <c r="I21" i="4"/>
  <c r="G8" i="6"/>
  <c r="H13" i="6"/>
  <c r="G18" i="6"/>
  <c r="G24" i="6"/>
  <c r="F10" i="7"/>
  <c r="O6" i="2"/>
  <c r="C26" i="3"/>
  <c r="E22" i="4"/>
  <c r="L9" i="6"/>
  <c r="K9" i="6"/>
  <c r="L25" i="6"/>
  <c r="K25" i="6"/>
  <c r="K3" i="6"/>
  <c r="L4" i="6"/>
  <c r="C35" i="6" s="1"/>
  <c r="B48" i="1" s="1"/>
  <c r="K11" i="6"/>
  <c r="L12" i="6"/>
  <c r="L20" i="6"/>
  <c r="C28" i="4"/>
  <c r="O16" i="6" l="1"/>
  <c r="J16" i="6"/>
  <c r="O32" i="6"/>
  <c r="J32" i="6"/>
  <c r="I23" i="4"/>
  <c r="H23" i="4"/>
  <c r="I23" i="6"/>
  <c r="D25" i="5"/>
  <c r="E25" i="5" s="1"/>
  <c r="E20" i="4"/>
  <c r="D31" i="1"/>
  <c r="D22" i="5"/>
  <c r="E22" i="5" s="1"/>
  <c r="I20" i="6"/>
  <c r="H25" i="6"/>
  <c r="D27" i="5"/>
  <c r="E27" i="5" s="1"/>
  <c r="D30" i="5"/>
  <c r="E30" i="5" s="1"/>
  <c r="H28" i="6"/>
  <c r="A14" i="7"/>
  <c r="B36" i="1"/>
  <c r="D29" i="5"/>
  <c r="E29" i="5" s="1"/>
  <c r="I27" i="6"/>
  <c r="D14" i="5"/>
  <c r="E14" i="5" s="1"/>
  <c r="I12" i="6"/>
  <c r="J8" i="6"/>
  <c r="J29" i="6"/>
  <c r="I8" i="6"/>
  <c r="D10" i="5"/>
  <c r="E10" i="5" s="1"/>
  <c r="O20" i="6"/>
  <c r="J20" i="6"/>
  <c r="J23" i="6"/>
  <c r="C36" i="6"/>
  <c r="I22" i="4"/>
  <c r="H31" i="6"/>
  <c r="D33" i="5"/>
  <c r="E33" i="5" s="1"/>
  <c r="I5" i="6"/>
  <c r="D7" i="5"/>
  <c r="E7" i="5" s="1"/>
  <c r="H30" i="6"/>
  <c r="D32" i="5"/>
  <c r="E32" i="5" s="1"/>
  <c r="I13" i="6"/>
  <c r="D15" i="5"/>
  <c r="E15" i="5" s="1"/>
  <c r="I15" i="6"/>
  <c r="D17" i="5"/>
  <c r="E17" i="5" s="1"/>
  <c r="I17" i="6"/>
  <c r="D19" i="5"/>
  <c r="E19" i="5" s="1"/>
  <c r="C82" i="5"/>
  <c r="C76" i="1" s="1"/>
  <c r="B22" i="1"/>
  <c r="G28" i="4"/>
  <c r="D28" i="5"/>
  <c r="E28" i="5" s="1"/>
  <c r="H26" i="6"/>
  <c r="I26" i="6" s="1"/>
  <c r="I20" i="4"/>
  <c r="H15" i="6"/>
  <c r="B25" i="1"/>
  <c r="C30" i="4"/>
  <c r="C38" i="6"/>
  <c r="B51" i="1" s="1"/>
  <c r="C37" i="6"/>
  <c r="B50" i="1" s="1"/>
  <c r="E21" i="4"/>
  <c r="D32" i="1"/>
  <c r="E81" i="5"/>
  <c r="E75" i="1" s="1"/>
  <c r="C81" i="5"/>
  <c r="C75" i="1" s="1"/>
  <c r="E70" i="5"/>
  <c r="I29" i="6"/>
  <c r="D31" i="5"/>
  <c r="E31" i="5" s="1"/>
  <c r="O21" i="6"/>
  <c r="J21" i="6"/>
  <c r="I6" i="6"/>
  <c r="H6" i="6"/>
  <c r="D8" i="5"/>
  <c r="E8" i="5" s="1"/>
  <c r="I21" i="6"/>
  <c r="D23" i="5"/>
  <c r="E23" i="5" s="1"/>
  <c r="B47" i="1"/>
  <c r="H3" i="6"/>
  <c r="I3" i="6"/>
  <c r="D5" i="5"/>
  <c r="E5" i="5" s="1"/>
  <c r="I14" i="6"/>
  <c r="H14" i="6"/>
  <c r="D16" i="5"/>
  <c r="E16" i="5" s="1"/>
  <c r="H11" i="6"/>
  <c r="D13" i="5"/>
  <c r="E13" i="5" s="1"/>
  <c r="I32" i="6"/>
  <c r="D34" i="5"/>
  <c r="E34" i="5" s="1"/>
  <c r="O5" i="6"/>
  <c r="J5" i="6"/>
  <c r="O13" i="6"/>
  <c r="J13" i="6"/>
  <c r="J24" i="6"/>
  <c r="I24" i="6"/>
  <c r="D26" i="5"/>
  <c r="E26" i="5" s="1"/>
  <c r="O27" i="6"/>
  <c r="J27" i="6"/>
  <c r="G16" i="3"/>
  <c r="F17" i="1" s="1"/>
  <c r="E17" i="1"/>
  <c r="I16" i="6"/>
  <c r="D18" i="5"/>
  <c r="E18" i="5" s="1"/>
  <c r="E33" i="1"/>
  <c r="G22" i="4"/>
  <c r="F33" i="1" s="1"/>
  <c r="H18" i="6"/>
  <c r="I18" i="6" s="1"/>
  <c r="D20" i="5"/>
  <c r="E20" i="5" s="1"/>
  <c r="H12" i="6"/>
  <c r="O4" i="6"/>
  <c r="J4" i="6"/>
  <c r="D12" i="5"/>
  <c r="E12" i="5" s="1"/>
  <c r="H10" i="6"/>
  <c r="H9" i="6"/>
  <c r="D11" i="5"/>
  <c r="E11" i="5" s="1"/>
  <c r="I7" i="6"/>
  <c r="D9" i="5"/>
  <c r="E9" i="5" s="1"/>
  <c r="I22" i="6"/>
  <c r="H22" i="6"/>
  <c r="D24" i="5"/>
  <c r="E24" i="5" s="1"/>
  <c r="D6" i="5"/>
  <c r="E6" i="5" s="1"/>
  <c r="I4" i="6"/>
  <c r="D21" i="5"/>
  <c r="E21" i="5" s="1"/>
  <c r="H19" i="6"/>
  <c r="G9" i="7" l="1"/>
  <c r="H9" i="7" s="1"/>
  <c r="M32" i="6"/>
  <c r="N32" i="6" s="1"/>
  <c r="M29" i="6"/>
  <c r="N29" i="6" s="1"/>
  <c r="M25" i="6"/>
  <c r="N25" i="6" s="1"/>
  <c r="M17" i="6"/>
  <c r="N17" i="6" s="1"/>
  <c r="M9" i="6"/>
  <c r="N9" i="6" s="1"/>
  <c r="G6" i="7"/>
  <c r="H6" i="7" s="1"/>
  <c r="M26" i="6"/>
  <c r="N26" i="6" s="1"/>
  <c r="M18" i="6"/>
  <c r="N18" i="6" s="1"/>
  <c r="M10" i="6"/>
  <c r="N10" i="6" s="1"/>
  <c r="G11" i="7"/>
  <c r="H11" i="7" s="1"/>
  <c r="M19" i="6"/>
  <c r="N19" i="6" s="1"/>
  <c r="M11" i="6"/>
  <c r="N11" i="6" s="1"/>
  <c r="M3" i="6"/>
  <c r="G8" i="7"/>
  <c r="H8" i="7" s="1"/>
  <c r="M30" i="6"/>
  <c r="N30" i="6" s="1"/>
  <c r="M27" i="6"/>
  <c r="N27" i="6" s="1"/>
  <c r="M20" i="6"/>
  <c r="N20" i="6" s="1"/>
  <c r="M12" i="6"/>
  <c r="N12" i="6" s="1"/>
  <c r="M4" i="6"/>
  <c r="N4" i="6" s="1"/>
  <c r="M21" i="6"/>
  <c r="N21" i="6" s="1"/>
  <c r="M13" i="6"/>
  <c r="N13" i="6" s="1"/>
  <c r="M5" i="6"/>
  <c r="N5" i="6" s="1"/>
  <c r="G10" i="7"/>
  <c r="H10" i="7" s="1"/>
  <c r="M24" i="6"/>
  <c r="N24" i="6" s="1"/>
  <c r="M8" i="6"/>
  <c r="N8" i="6" s="1"/>
  <c r="M23" i="6"/>
  <c r="N23" i="6" s="1"/>
  <c r="M22" i="6"/>
  <c r="N22" i="6" s="1"/>
  <c r="M7" i="6"/>
  <c r="N7" i="6" s="1"/>
  <c r="M6" i="6"/>
  <c r="N6" i="6" s="1"/>
  <c r="M28" i="6"/>
  <c r="N28" i="6" s="1"/>
  <c r="G7" i="7"/>
  <c r="H7" i="7" s="1"/>
  <c r="M31" i="6"/>
  <c r="N31" i="6" s="1"/>
  <c r="M16" i="6"/>
  <c r="N16" i="6" s="1"/>
  <c r="B49" i="1"/>
  <c r="M15" i="6"/>
  <c r="N15" i="6" s="1"/>
  <c r="M14" i="6"/>
  <c r="N14" i="6" s="1"/>
  <c r="I30" i="5"/>
  <c r="H30" i="5"/>
  <c r="G30" i="5"/>
  <c r="F30" i="5"/>
  <c r="G25" i="5"/>
  <c r="I25" i="5"/>
  <c r="H25" i="5"/>
  <c r="F25" i="5"/>
  <c r="H18" i="5"/>
  <c r="F18" i="5"/>
  <c r="G18" i="5"/>
  <c r="I18" i="5"/>
  <c r="E32" i="1"/>
  <c r="G21" i="4"/>
  <c r="F32" i="1" s="1"/>
  <c r="G17" i="5"/>
  <c r="I17" i="5"/>
  <c r="H17" i="5"/>
  <c r="F17" i="5"/>
  <c r="O30" i="6"/>
  <c r="J30" i="6"/>
  <c r="I14" i="5"/>
  <c r="H14" i="5"/>
  <c r="G14" i="5"/>
  <c r="F14" i="5"/>
  <c r="I27" i="5"/>
  <c r="G27" i="5"/>
  <c r="F27" i="5"/>
  <c r="H27" i="5"/>
  <c r="O19" i="6"/>
  <c r="J19" i="6"/>
  <c r="I19" i="6"/>
  <c r="I21" i="5"/>
  <c r="H21" i="5"/>
  <c r="G21" i="5"/>
  <c r="F21" i="5"/>
  <c r="O11" i="6"/>
  <c r="J11" i="6"/>
  <c r="H28" i="5"/>
  <c r="G28" i="5"/>
  <c r="F28" i="5"/>
  <c r="I28" i="5"/>
  <c r="I7" i="5"/>
  <c r="H7" i="5"/>
  <c r="G7" i="5"/>
  <c r="F7" i="5"/>
  <c r="O25" i="6"/>
  <c r="J25" i="6"/>
  <c r="H12" i="5"/>
  <c r="G12" i="5"/>
  <c r="F12" i="5"/>
  <c r="I12" i="5"/>
  <c r="I11" i="5"/>
  <c r="G11" i="5"/>
  <c r="F11" i="5"/>
  <c r="H11" i="5"/>
  <c r="E82" i="5"/>
  <c r="E76" i="1" s="1"/>
  <c r="D82" i="5"/>
  <c r="D76" i="1" s="1"/>
  <c r="B24" i="1"/>
  <c r="A27" i="1"/>
  <c r="H28" i="4"/>
  <c r="B26" i="1" s="1"/>
  <c r="I29" i="5"/>
  <c r="H29" i="5"/>
  <c r="G29" i="5"/>
  <c r="F29" i="5"/>
  <c r="I25" i="6"/>
  <c r="F32" i="5"/>
  <c r="G32" i="5"/>
  <c r="I32" i="5"/>
  <c r="H32" i="5"/>
  <c r="O3" i="6"/>
  <c r="C45" i="6"/>
  <c r="B57" i="1" s="1"/>
  <c r="C44" i="6"/>
  <c r="B56" i="1" s="1"/>
  <c r="J3" i="6"/>
  <c r="O9" i="6"/>
  <c r="J9" i="6"/>
  <c r="O12" i="6"/>
  <c r="J12" i="6"/>
  <c r="I11" i="6"/>
  <c r="I31" i="5"/>
  <c r="H31" i="5"/>
  <c r="G31" i="5"/>
  <c r="F31" i="5"/>
  <c r="I6" i="5"/>
  <c r="H6" i="5"/>
  <c r="G6" i="5"/>
  <c r="F6" i="5"/>
  <c r="I9" i="6"/>
  <c r="I23" i="5"/>
  <c r="H23" i="5"/>
  <c r="G23" i="5"/>
  <c r="F23" i="5"/>
  <c r="I15" i="5"/>
  <c r="H15" i="5"/>
  <c r="G15" i="5"/>
  <c r="F15" i="5"/>
  <c r="G33" i="5"/>
  <c r="I33" i="5"/>
  <c r="H33" i="5"/>
  <c r="F33" i="5"/>
  <c r="H10" i="5"/>
  <c r="F10" i="5"/>
  <c r="G10" i="5"/>
  <c r="I10" i="5"/>
  <c r="F16" i="5"/>
  <c r="G16" i="5"/>
  <c r="I16" i="5"/>
  <c r="H16" i="5"/>
  <c r="J31" i="6"/>
  <c r="O31" i="6"/>
  <c r="I22" i="5"/>
  <c r="H22" i="5"/>
  <c r="G22" i="5"/>
  <c r="F22" i="5"/>
  <c r="G9" i="5"/>
  <c r="I9" i="5"/>
  <c r="H9" i="5"/>
  <c r="F9" i="5"/>
  <c r="E35" i="5"/>
  <c r="H5" i="5"/>
  <c r="B39" i="5"/>
  <c r="G5" i="5"/>
  <c r="B38" i="5"/>
  <c r="F5" i="5"/>
  <c r="F35" i="5" s="1"/>
  <c r="B49" i="5" s="1"/>
  <c r="B37" i="5"/>
  <c r="B44" i="5"/>
  <c r="B56" i="5"/>
  <c r="J26" i="6"/>
  <c r="O26" i="6"/>
  <c r="I13" i="5"/>
  <c r="H13" i="5"/>
  <c r="G13" i="5"/>
  <c r="F13" i="5"/>
  <c r="F24" i="5"/>
  <c r="G24" i="5"/>
  <c r="I24" i="5"/>
  <c r="H24" i="5"/>
  <c r="O10" i="6"/>
  <c r="J10" i="6"/>
  <c r="H20" i="5"/>
  <c r="G20" i="5"/>
  <c r="F20" i="5"/>
  <c r="I20" i="5"/>
  <c r="O22" i="6"/>
  <c r="J22" i="6"/>
  <c r="I10" i="6"/>
  <c r="J18" i="6"/>
  <c r="O18" i="6"/>
  <c r="O14" i="6"/>
  <c r="J14" i="6"/>
  <c r="F8" i="5"/>
  <c r="G8" i="5"/>
  <c r="I8" i="5"/>
  <c r="H8" i="5"/>
  <c r="O15" i="6"/>
  <c r="J15" i="6"/>
  <c r="I19" i="5"/>
  <c r="G19" i="5"/>
  <c r="F19" i="5"/>
  <c r="H19" i="5"/>
  <c r="I31" i="6"/>
  <c r="J28" i="6"/>
  <c r="O28" i="6"/>
  <c r="H26" i="5"/>
  <c r="F26" i="5"/>
  <c r="G26" i="5"/>
  <c r="I26" i="5"/>
  <c r="H34" i="5"/>
  <c r="F34" i="5"/>
  <c r="G34" i="5"/>
  <c r="I34" i="5"/>
  <c r="J6" i="6"/>
  <c r="O6" i="6"/>
  <c r="I30" i="6"/>
  <c r="I28" i="6"/>
  <c r="E31" i="1"/>
  <c r="G20" i="4"/>
  <c r="F31" i="1" s="1"/>
  <c r="C60" i="5" l="1"/>
  <c r="B60" i="5"/>
  <c r="D60" i="5" s="1"/>
  <c r="E60" i="5" s="1"/>
  <c r="B63" i="5"/>
  <c r="C61" i="5"/>
  <c r="B61" i="5"/>
  <c r="D61" i="5" s="1"/>
  <c r="E61" i="5" s="1"/>
  <c r="C62" i="5"/>
  <c r="B62" i="5"/>
  <c r="D62" i="5" s="1"/>
  <c r="E62" i="5" s="1"/>
  <c r="B59" i="5"/>
  <c r="C59" i="5"/>
  <c r="B39" i="4"/>
  <c r="B42" i="1" s="1"/>
  <c r="C43" i="6"/>
  <c r="C40" i="6"/>
  <c r="B53" i="1" s="1"/>
  <c r="N3" i="6"/>
  <c r="C41" i="6" s="1"/>
  <c r="B40" i="5"/>
  <c r="B59" i="1"/>
  <c r="B58" i="1"/>
  <c r="I35" i="5"/>
  <c r="B48" i="5" s="1"/>
  <c r="B50" i="5" s="1"/>
  <c r="D59" i="5" l="1"/>
  <c r="E59" i="5" s="1"/>
  <c r="F59" i="5" s="1"/>
  <c r="B55" i="5"/>
  <c r="C79" i="5"/>
  <c r="C73" i="1" s="1"/>
  <c r="E79" i="5"/>
  <c r="E73" i="1" s="1"/>
  <c r="B42" i="5"/>
  <c r="C78" i="5"/>
  <c r="C72" i="1" s="1"/>
  <c r="B54" i="1"/>
  <c r="C42" i="6"/>
  <c r="B55" i="1" s="1"/>
  <c r="E80" i="5"/>
  <c r="E74" i="1" s="1"/>
  <c r="C80" i="5"/>
  <c r="C74" i="1" s="1"/>
  <c r="E78" i="5" l="1"/>
  <c r="E72" i="1" s="1"/>
  <c r="D78" i="5"/>
  <c r="D72" i="1" s="1"/>
  <c r="B43" i="5"/>
  <c r="A84" i="5"/>
  <c r="A78" i="1" s="1"/>
</calcChain>
</file>

<file path=xl/sharedStrings.xml><?xml version="1.0" encoding="utf-8"?>
<sst xmlns="http://schemas.openxmlformats.org/spreadsheetml/2006/main" count="420" uniqueCount="299">
  <si>
    <t>SUMMARY — ANALISIS STATISTIK OVERTIME INDEX (Jan 2024 – Jun 2026)</t>
  </si>
  <si>
    <t>Seluruh angka pada sheet ini adalah link formula ke sheet Data, Korelasi Pearson, Regresi, dan Index Ideal. Ubah data di sheet Data → semua hasil ikut berubah.</t>
  </si>
  <si>
    <t>A. FLOW ANALISIS (urutan kerja)</t>
  </si>
  <si>
    <t>Tahap</t>
  </si>
  <si>
    <t>Aktivitas</t>
  </si>
  <si>
    <t>Penjelasan</t>
  </si>
  <si>
    <t>Langkah 1</t>
  </si>
  <si>
    <t>Input &amp; Validasi Data</t>
  </si>
  <si>
    <t>Sheet Data: 30 observasi bulanan (t=1..30), 3 variabel bebas (Hari Kerja, Volume Produksi, Man Power) dan 1 variabel terikat (Total Index Overtime) + statistik deskriptif.</t>
  </si>
  <si>
    <t>Langkah 2</t>
  </si>
  <si>
    <t>Korelasi Pearson</t>
  </si>
  <si>
    <t>Mengukur arah &amp; kekuatan hubungan tiap X terhadap Y (fungsi CORREL), lalu diuji signifikansinya dengan uji t: t = r√(n-2)/√(1-r²), P-Value = TDIST(|t|; df; 2).</t>
  </si>
  <si>
    <t>Langkah 3</t>
  </si>
  <si>
    <t>Cek Multikolinearitas</t>
  </si>
  <si>
    <t>Korelasi antar prediktor diperiksa; r &gt; 0,8 menandakan tumpang tindih informasi antar variabel bebas.</t>
  </si>
  <si>
    <t>Langkah 4</t>
  </si>
  <si>
    <t>Regresi Linier Berganda</t>
  </si>
  <si>
    <t>LINEST(Y; X1:X3) di-unpack dengan INDEX untuk memperoleh koefisien, standard error, R², F, dan sum of squares — semuanya live formula.</t>
  </si>
  <si>
    <t>Langkah 5</t>
  </si>
  <si>
    <t>Uji F (simultan)</t>
  </si>
  <si>
    <t>Menguji apakah model secara keseluruhan layak: F = MS Regresi / MS Residual, Sig. F = FDIST(F; k; n-k-1).</t>
  </si>
  <si>
    <t>Langkah 6</t>
  </si>
  <si>
    <t>Uji t &amp; P-Value (parsial)</t>
  </si>
  <si>
    <t>Menguji pengaruh masing-masing variabel: t = koefisien / std error, P-Value = TDIST(|t|; n-k-1; 2), plus interval keyakinan 95%.</t>
  </si>
  <si>
    <t>Langkah 7</t>
  </si>
  <si>
    <t>Uji Asumsi Klasik</t>
  </si>
  <si>
    <t>Normalitas residual (Jarque-Bera), autokorelasi (Durbin-Watson), heteroskedastisitas (Glejser), dan multikolinearitas (VIF). Wajib dicek sebelum P-Value ditafsirkan, khususnya autokorelasi karena data berupa deret waktu bulanan.</t>
  </si>
  <si>
    <t>Langkah 8</t>
  </si>
  <si>
    <t>Index Ideal</t>
  </si>
  <si>
    <t>Persamaan regresi dipakai menghitung level overtime wajar tiap bulan; dibandingkan aktual untuk melihat deviasi, lalu benchmark kuartil-1 dipakai sebagai target efisiensi.</t>
  </si>
  <si>
    <t>B. HASIL KORELASI PEARSON</t>
  </si>
  <si>
    <t>Variabel</t>
  </si>
  <si>
    <t>r</t>
  </si>
  <si>
    <t>r² (%)</t>
  </si>
  <si>
    <t>t-hitung</t>
  </si>
  <si>
    <t>P-Value</t>
  </si>
  <si>
    <t>Keputusan</t>
  </si>
  <si>
    <t>Interpretasi</t>
  </si>
  <si>
    <t>X1 - Jumlah Hari Kerja</t>
  </si>
  <si>
    <t>X2 - Volume Produksi</t>
  </si>
  <si>
    <t>X3 - Total Man Power</t>
  </si>
  <si>
    <t>C. HASIL UJI F (KELAYAKAN MODEL SIMULTAN)</t>
  </si>
  <si>
    <t>F-hitung</t>
  </si>
  <si>
    <t>F-tabel (α=5%)</t>
  </si>
  <si>
    <t>P-Value (Sig. F)</t>
  </si>
  <si>
    <t>df (k ; n-k-1)</t>
  </si>
  <si>
    <t>D. HASIL REGRESI LINIER BERGANDA (UJI t &amp; P-VALUE)</t>
  </si>
  <si>
    <t>Koefisien (Satuan Index)</t>
  </si>
  <si>
    <t>Std Error</t>
  </si>
  <si>
    <t>Arti Praktis</t>
  </si>
  <si>
    <t>Intercept (b0)</t>
  </si>
  <si>
    <t>Konstanta model.</t>
  </si>
  <si>
    <t>Setiap tambahan 1 unit Volume Produksi mengubah Index Overtime sebesar 28 index</t>
  </si>
  <si>
    <t>Persamaan Regresi</t>
  </si>
  <si>
    <t>R (korelasi berganda)</t>
  </si>
  <si>
    <t>R² (koefisien determinasi)</t>
  </si>
  <si>
    <t>R² dalam %</t>
  </si>
  <si>
    <t>Adjusted R²</t>
  </si>
  <si>
    <t>Standard Error of Estimate</t>
  </si>
  <si>
    <t>MAPE (rata-rata error prediksi, %)</t>
  </si>
  <si>
    <t>E. INDEX IDEAL &amp; POTENSI EFISIENSI</t>
  </si>
  <si>
    <t>Rata-rata Index Overtime aktual</t>
  </si>
  <si>
    <t>Rata-rata Index Ideal (model regresi)</t>
  </si>
  <si>
    <t>Rasio OT/Volume saat ini</t>
  </si>
  <si>
    <t>Rasio OT/Volume efisien (kuartil 1) — dasar target</t>
  </si>
  <si>
    <t>Rasio OT/Man Power saat ini</t>
  </si>
  <si>
    <t>Rasio OT/Man Power efisien (kuartil 1)</t>
  </si>
  <si>
    <t>Total Overtime aktual 30 bulan</t>
  </si>
  <si>
    <t>Total Index Ideal Benchmark 30 bulan</t>
  </si>
  <si>
    <t>Potensi penghematan overtime</t>
  </si>
  <si>
    <t>% potensi penghematan</t>
  </si>
  <si>
    <t>Bulan paling boros (deviasi tertinggi)</t>
  </si>
  <si>
    <t>Bulan paling efisien</t>
  </si>
  <si>
    <t>Jumlah bulan di atas ideal</t>
  </si>
  <si>
    <t>Jumlah bulan di bawah ideal</t>
  </si>
  <si>
    <t>F. CATATAN BACA HASIL</t>
  </si>
  <si>
    <t>1. P-Value &lt; 0,05 → variabel/model signifikan secara statistik pada tingkat keyakinan 95%.</t>
  </si>
  <si>
    <t>2. Uji F menilai model secara bersama-sama; uji t menilai kontribusi tiap variabel secara parsial. Model bisa signifikan (uji F) walau ada variabel yang tidak signifikan (uji t).</t>
  </si>
  <si>
    <t>3. Korelasi Pearson hanya mengukur hubungan linier dua variabel dan tidak membuktikan sebab-akibat.</t>
  </si>
  <si>
    <t>4. Index Ideal (Model) = level overtime wajar menurut kondisi operasional bulan tersebut; dipakai untuk mendeteksi bulan yang overtime-nya menyimpang.</t>
  </si>
  <si>
    <t>5. Index Ideal Benchmark = target perbaikan berbasis performa 25% bulan terbaik (kuartil 1 rasio OT/Volume); selisihnya adalah potensi penghematan.</t>
  </si>
  <si>
    <t>6. Data hanya 30 observasi — hasil perlu ditinjau ulang setiap penambahan data baru. Cukup tambahkan baris di sheet Data dan perluas range formula.</t>
  </si>
  <si>
    <t>7. Semua sel hijau adalah link antar sheet, sel biru adalah input mentah, sel kuning adalah asumsi yang boleh diubah (alpha 0,05 dan jumlah prediktor).</t>
  </si>
  <si>
    <t>G. HASIL UJI ASUMSI KLASIK</t>
  </si>
  <si>
    <t>Asumsi</t>
  </si>
  <si>
    <t>Alat Uji</t>
  </si>
  <si>
    <t>Nilai</t>
  </si>
  <si>
    <t>P-Value / Batas</t>
  </si>
  <si>
    <t>Status</t>
  </si>
  <si>
    <t>DATA TRAINING — Jan 2024 s.d Jun 2026 (Aktual)</t>
  </si>
  <si>
    <t>Year</t>
  </si>
  <si>
    <t>Month</t>
  </si>
  <si>
    <t>t</t>
  </si>
  <si>
    <t>Jumlah Hari Kerja (X1)</t>
  </si>
  <si>
    <t>Volume Produksi (X2)</t>
  </si>
  <si>
    <t>Total Man Power (X3)</t>
  </si>
  <si>
    <t>Total Index Overtime (Y)</t>
  </si>
  <si>
    <t>STATISTIK DESKRIPTIF</t>
  </si>
  <si>
    <t>Januari</t>
  </si>
  <si>
    <t>N</t>
  </si>
  <si>
    <t>Mean</t>
  </si>
  <si>
    <t>Std Dev</t>
  </si>
  <si>
    <t>Min</t>
  </si>
  <si>
    <t>Max</t>
  </si>
  <si>
    <t>CV (%)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</si>
  <si>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</si>
  <si>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</si>
  <si>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</si>
  <si>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</si>
  <si>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</si>
  <si>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</si>
  <si>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</si>
  <si>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</si>
  <si>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Standar Deviasi</t>
  </si>
  <si>
    <t>Coefficient of Variation</t>
  </si>
  <si>
    <t>Oktober</t>
  </si>
  <si>
    <t>Variasi data Homogen memiliki fluktuasi rendah</t>
  </si>
  <si>
    <t>November</t>
  </si>
  <si>
    <t>Variasi data Heterogen memiliki fluktuasi yang sedang</t>
  </si>
  <si>
    <t>December</t>
  </si>
  <si>
    <t>Variasi data Heterogen, memiliki fluktuasi tinggi</t>
  </si>
  <si>
    <t>Catatan: seluruh angka biru = data input aktual dari user (hardcode). Semua sheet lain menghitung dari sini lewat formula.</t>
  </si>
  <si>
    <t>n (jumlah observasi)</t>
  </si>
  <si>
    <t>df = n - 2</t>
  </si>
  <si>
    <t>alpha</t>
  </si>
  <si>
    <t>1. MATRIKS KORELASI (r)</t>
  </si>
  <si>
    <t>Variable</t>
  </si>
  <si>
    <t>X1 - Hari Kerja</t>
  </si>
  <si>
    <t>X3 - Man Power</t>
  </si>
  <si>
    <t>Y - Index Overtime</t>
  </si>
  <si>
    <t>2. UJI SIGNIFIKANSI KORELASI TERHADAP Y (Index Overtime)</t>
  </si>
  <si>
    <t>Pasangan Variabel</t>
  </si>
  <si>
    <t>r (Pearson)</t>
  </si>
  <si>
    <t>r² (Koefisien Determinasi)</t>
  </si>
  <si>
    <t>t-hitung = r*AKAR(df)/AKAR(1-r²)</t>
  </si>
  <si>
    <t>t-tabel (2 sisi, 5%)</t>
  </si>
  <si>
    <t>Kekuatan Hubungan</t>
  </si>
  <si>
    <t>X1 - Jumlah Hari Kerja vs Y</t>
  </si>
  <si>
    <t>X2 - Volume Produksi vs Y</t>
  </si>
  <si>
    <t>X3 - Total Man Power vs Y</t>
  </si>
  <si>
    <t>H0: r = 0 (tidak ada hubungan linier)  |  H1: r ≠ 0 (ada hubungan linier). Tolak H0 bila P-Value &lt; alpha (0,05).</t>
  </si>
  <si>
    <t>3. CEK MULTIKOLINEARITAS ANTAR PREDIKTOR</t>
  </si>
  <si>
    <t>Pasangan</t>
  </si>
  <si>
    <t>Catatan</t>
  </si>
  <si>
    <t>X1 vs X2</t>
  </si>
  <si>
    <t>X1 vs X3</t>
  </si>
  <si>
    <t>X2 vs X3</t>
  </si>
  <si>
    <t>ANALISIS REGRESI LINIER BERGANDA (Y = b0 + b1·X1 + b2·X2 + b3·X3)</t>
  </si>
  <si>
    <t>Y = Total Index Overtime | X1 = Jumlah Hari Kerja | X2 = Volume Produksi | X3 = Total Man Power</t>
  </si>
  <si>
    <t>n</t>
  </si>
  <si>
    <t>k (jumlah prediktor)</t>
  </si>
  <si>
    <t>df regresi = k</t>
  </si>
  <si>
    <t>df residual = n-k-1</t>
  </si>
  <si>
    <t>1. OUTPUT LINEST (array di-unpack dengan INDEX agar semua sel ter-link)</t>
  </si>
  <si>
    <t>Matrix</t>
  </si>
  <si>
    <t>m3 (X3 Man Power)</t>
  </si>
  <si>
    <t>m2 (X2 Volume)</t>
  </si>
  <si>
    <t>m1 (X1 Hari Kerja)</t>
  </si>
  <si>
    <t>b (Intercept)</t>
  </si>
  <si>
    <t>Koefisien</t>
  </si>
  <si>
    <t>R² / SE(Y)</t>
  </si>
  <si>
    <t>F / df residual</t>
  </si>
  <si>
    <t>SS Regresi / SS Residual</t>
  </si>
  <si>
    <t>2. TABEL KOEFISIEN, UJI t DAN P-VALUE</t>
  </si>
  <si>
    <t>t-tabel</t>
  </si>
  <si>
    <t>Keputusan (α=5%)</t>
  </si>
  <si>
    <t>Batas Bawah 95%</t>
  </si>
  <si>
    <t>Batas Atas 95%</t>
  </si>
  <si>
    <t>X1 - Jumlah Hari Kerja (b1)</t>
  </si>
  <si>
    <t>X2 - Volume Produksi (b2)</t>
  </si>
  <si>
    <t>X3 - Total Man Power (b3)</t>
  </si>
  <si>
    <t>Uji t: H0: bi = 0 (variabel tidak berpengaruh) | H1: bi ≠ 0. Tolak H0 bila P-Value &lt; 0,05.</t>
  </si>
  <si>
    <t>3. UJI F (ANOVA) — Kelayakan Model Secara Simultan</t>
  </si>
  <si>
    <t>Sumber Variasi</t>
  </si>
  <si>
    <t>SS (Sum of Squares)</t>
  </si>
  <si>
    <t>df</t>
  </si>
  <si>
    <t>MS (Mean Square)</t>
  </si>
  <si>
    <t>F-tabel</t>
  </si>
  <si>
    <t>Regresi</t>
  </si>
  <si>
    <t>Residual</t>
  </si>
  <si>
    <t>Total</t>
  </si>
  <si>
    <t>Uji F: H0: b1=b2=b3=0 | H1: minimal satu bi ≠ 0. Tolak H0 bila Sig. F &lt; 0,05.</t>
  </si>
  <si>
    <t>4. GOODNESS OF FIT</t>
  </si>
  <si>
    <t>R (koefisien korelasi berganda)</t>
  </si>
  <si>
    <t>MAPE model (%)</t>
  </si>
  <si>
    <t>5. PERSAMAAN REGRESI TERBENTUK</t>
  </si>
  <si>
    <t>UJI ASUMSI KLASIK — Normalitas, Autokorelasi, Heteroskedastisitas, Multikolinearitas</t>
  </si>
  <si>
    <t>Kolom bantu untuk perhitungan VIF</t>
  </si>
  <si>
    <t>Periode</t>
  </si>
  <si>
    <t>Y Aktual</t>
  </si>
  <si>
    <t>Y Prediksi (Fitted)</t>
  </si>
  <si>
    <t>Residual (e)</t>
  </si>
  <si>
    <t>e²</t>
  </si>
  <si>
    <t>|e|</t>
  </si>
  <si>
    <t>Residual Baku</t>
  </si>
  <si>
    <t>(e(t)-e(t-1))²</t>
  </si>
  <si>
    <t>X1</t>
  </si>
  <si>
    <t>X2</t>
  </si>
  <si>
    <t>X3</t>
  </si>
  <si>
    <t>-</t>
  </si>
  <si>
    <t>Jumlah</t>
  </si>
  <si>
    <t>Skewness (kemencengan)</t>
  </si>
  <si>
    <t>Excess Kurtosis</t>
  </si>
  <si>
    <t>Jarque-Bera = n/6 x (S² + K²/4)</t>
  </si>
  <si>
    <t>Chi-Square tabel (df=2; α=5%)</t>
  </si>
  <si>
    <t>Rata-rata residual (harus ≈ 0)</t>
  </si>
  <si>
    <t>H0: residual berdistribusi normal. P-Value &gt; 0,05 → H0 diterima → asumsi normalitas terpenuhi.</t>
  </si>
  <si>
    <t>2. UJI AUTOKORELASI (Durbin-Watson) — penting karena data time series bulanan</t>
  </si>
  <si>
    <t>Σ (e(t) - e(t-1))²</t>
  </si>
  <si>
    <t>Σ e²</t>
  </si>
  <si>
    <t>Durbin-Watson (DW)</t>
  </si>
  <si>
    <t>Nilai dL &amp; dU dari tabel Durbin-Watson (n=30; k=3). Sel kuning boleh diubah bila jumlah data/prediktor berubah. Asumsi aman bila dU &lt; DW &lt; 4-dU.</t>
  </si>
  <si>
    <t>dL (n=30; k=3; α=5%)</t>
  </si>
  <si>
    <t>dU (n=30; k=3; α=5%)</t>
  </si>
  <si>
    <t>4 - dU</t>
  </si>
  <si>
    <t>4 - dL</t>
  </si>
  <si>
    <t>Autokorelasi lag-1 residual (r)</t>
  </si>
  <si>
    <t>3. UJI HETEROSKEDASTISITAS (Glejser: |e| diregresi pada X1, X2, X3)</t>
  </si>
  <si>
    <t>Intercept</t>
  </si>
  <si>
    <t>Korelasi |e| dengan Y prediksi</t>
  </si>
  <si>
    <t>Kesimpulan Glejser (selain intercept)</t>
  </si>
  <si>
    <t>H0: tidak ada heteroskedastisitas. Variabel dengan P-Value &lt; 0,05 pada regresi |e| menandakan ragam residual tidak konstan.</t>
  </si>
  <si>
    <t>4. UJI MULTIKOLINEARITAS (Tolerance &amp; VIF)</t>
  </si>
  <si>
    <t>R² regresi Xj terhadap X lainnya</t>
  </si>
  <si>
    <t>Tolerance = 1 - R²</t>
  </si>
  <si>
    <t>VIF = 1 / Tolerance</t>
  </si>
  <si>
    <t>Batas umum: VIF &lt; 10 dan Tolerance &gt; 0,10 → antar variabel bebas tidak saling tumpang tindih.</t>
  </si>
  <si>
    <t>5. REKAP HASIL UJI ASUMSI KLASIK</t>
  </si>
  <si>
    <t>Nilai Statistik</t>
  </si>
  <si>
    <t>Normalitas residual</t>
  </si>
  <si>
    <t>Jarque-Bera</t>
  </si>
  <si>
    <t>Non-autokorelasi</t>
  </si>
  <si>
    <t>Durbin-Watson</t>
  </si>
  <si>
    <t>Homoskedastisitas</t>
  </si>
  <si>
    <t>Glejser</t>
  </si>
  <si>
    <t>0,05 (P-Value terkecil)</t>
  </si>
  <si>
    <t>Non-multikolinearitas</t>
  </si>
  <si>
    <t>VIF</t>
  </si>
  <si>
    <t>VIF &lt; 10</t>
  </si>
  <si>
    <t>Linearitas</t>
  </si>
  <si>
    <t>Uji F model</t>
  </si>
  <si>
    <t>INDEX OVERTIME IDEAL — Hasil Prediksi Model &amp; Benchmark Efisiensi</t>
  </si>
  <si>
    <t>Hari Kerja</t>
  </si>
  <si>
    <t>Volume</t>
  </si>
  <si>
    <t>Man Power</t>
  </si>
  <si>
    <t>Overtime Aktual (Y)</t>
  </si>
  <si>
    <t>Index Ideal (Model Regresi)</t>
  </si>
  <si>
    <t>Selisih (Aktual - Ideal)</t>
  </si>
  <si>
    <t>% Deviasi</t>
  </si>
  <si>
    <t>APE (%)</t>
  </si>
  <si>
    <t>OT / Man Power</t>
  </si>
  <si>
    <t>OT / Volume</t>
  </si>
  <si>
    <t>Index Ideal Benchmark (Efisien)</t>
  </si>
  <si>
    <t>Potensi Penghematan</t>
  </si>
  <si>
    <t>PARAMETER BENCHMARK (Index Ideal Normatif)</t>
  </si>
  <si>
    <t>Rasio OT/Volume rata-rata (kondisi saat ini)</t>
  </si>
  <si>
    <t>Rasio OT/Volume efisien = kuartil 1 (25% terbaik)  ← dasar Index Ideal Benchmark</t>
  </si>
  <si>
    <t>Rasio OT/Man Power rata-rata</t>
  </si>
  <si>
    <t>Total Overtime Aktual (30 bulan)</t>
  </si>
  <si>
    <t>Total Index Ideal Benchmark (30 bulan)</t>
  </si>
  <si>
    <t>Total Potensi Penghematan Overtime</t>
  </si>
  <si>
    <t>% Potensi Penghematan terhadap Aktual</t>
  </si>
  <si>
    <t>MAPE model regresi (%)</t>
  </si>
  <si>
    <t>Bulan dengan overtime paling boros (deviasi tertinggi)</t>
  </si>
  <si>
    <t>Bulan paling efisien (deviasi terendah)</t>
  </si>
  <si>
    <t>Definisi: (1) Index Ideal (Model) = nilai prediksi overtime dari persamaan regresi pada kondisi hari kerja, volume, dan man power bulan tsb — ini adalah level overtime yang WAJAR secara statistik. (2) Index Ideal Benchmark = volume bulan tsb x rasio OT/Volume kuartil-1 (25% bulan paling efisien) — ini adalah TARGET perbaikan. Selisih terhadap aktual = potensi penghematan.</t>
  </si>
  <si>
    <t>FORECASTING INDEX OVERTIME — Juli s.d Desember 2026</t>
  </si>
  <si>
    <t>Persamaan regresi tetap dari data training n=30 (Jan 2024 - Jun 2026). Isi sel kuning (X1, X2, X3) sesuai rencana/estimasi bulan berjalan — Index Ideal terhitung otomatis.</t>
  </si>
  <si>
    <t>Legend:</t>
  </si>
  <si>
    <t xml:space="preserve">  Sel kuning = input Anda (X1, X2, X3)</t>
  </si>
  <si>
    <t xml:space="preserve">  Sel hijau = hasil Index Ideal (formula, jangan diedit)</t>
  </si>
  <si>
    <t>Index Ideal (Prediksi Overtime, Y)</t>
  </si>
  <si>
    <t>Selisih Ideal vs Benchmark</t>
  </si>
  <si>
    <t>Juli 2026</t>
  </si>
  <si>
    <t>Agustus 2026</t>
  </si>
  <si>
    <t>September 2026</t>
  </si>
  <si>
    <t>Oktober 2026</t>
  </si>
  <si>
    <t>November 2026</t>
  </si>
  <si>
    <t>Desember 2026</t>
  </si>
  <si>
    <t>Persamaan regresi yang dipakai (n=30, tidak berubah untuk semua bulan forecast):</t>
  </si>
  <si>
    <t>Catatan:</t>
  </si>
  <si>
    <t>1. t = indeks waktu lanjutan dari data training (t=1..30 = Jan 2024-Jun 2026). Juli 2026 = t=31, dst. t hanya nilai input X pada persamaan, bukan penambah n.</t>
  </si>
  <si>
    <t>2. n training tetap 30 dan koefisien (b0..b3) di sheet Regresi TIDAK dihitung ulang selama forecast ini — model diestimasi sekali dari data aktual.</t>
  </si>
  <si>
    <t>3. "Index Ideal (Model Regresi)" = level overtime yang wajar secara statistik untuk kombinasi X1, X2, X3 yang Anda input.</t>
  </si>
  <si>
    <t>4. "Index Ideal Benchmark (Efisien)" = volume x rasio OT/Volume kuartil-1 (25% bulan paling efisien di data training) — target perbaikan, bukan prediksi model.</t>
  </si>
  <si>
    <t>5. Jika nanti aktual bulan berjalan sudah tersedia, Anda boleh menambahkannya ke sheet Data dan re-estimasi model (n akan berubah jadi 31, 32, dst) — itu model baru, terpisah dari forecast ini.</t>
  </si>
  <si>
    <t>ANALISIS KORELASI PEARSON — Matriks r, Uji t dan P-Value</t>
  </si>
  <si>
    <t xml:space="preserve">Semua perhitungan memakai residual dari model regresi pada sheet Regresi </t>
  </si>
  <si>
    <t>Weekly</t>
  </si>
  <si>
    <t>Monthly</t>
  </si>
  <si>
    <t>Current</t>
  </si>
  <si>
    <t>Actual</t>
  </si>
  <si>
    <t>menit</t>
  </si>
  <si>
    <t>Jam</t>
  </si>
  <si>
    <t>Indeks Aktual</t>
  </si>
  <si>
    <t>Desember</t>
  </si>
  <si>
    <t>Indeks Ideal (Model Regresi)</t>
  </si>
  <si>
    <t>Setiap tambahan 1 hari kerja mengubah Index Overtime sebesar nilai koefisien (ceteris paribus) turun 1.417 index.</t>
  </si>
  <si>
    <t>Setiap tambahan 1 orang Man Power menurunkan Index Overtime sebesar 132 (nilai Koefisien)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</si>
</sst>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"/>
    <numFmt numFmtId="166" formatCode="#,##0.0000"/>
    <numFmt numFmtId="167" formatCode="0.0"/>
    <numFmt numFmtId="168" formatCode="#,##0.000"/>
  </numFmts>
  <fonts count="36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  <charset val="1"/>
    </font>
    <font>
      <i/>
      <sz val="9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8000"/>
      <name val="Arial"/>
      <family val="2"/>
      <charset val="1"/>
    </font>
    <font>
      <b/>
      <sz val="10"/>
      <color rgb="FFC00000"/>
      <name val="Arial"/>
      <family val="2"/>
      <charset val="1"/>
    </font>
    <font>
      <sz val="12"/>
      <name val="Arial"/>
      <family val="2"/>
      <charset val="1"/>
    </font>
    <font>
      <sz val="12"/>
      <color rgb="FF008000"/>
      <name val="Arial"/>
      <family val="2"/>
      <charset val="1"/>
    </font>
    <font>
      <sz val="12"/>
      <color theme="1"/>
      <name val="Calibri"/>
      <family val="2"/>
      <charset val="1"/>
    </font>
    <font>
      <b/>
      <sz val="11"/>
      <color rgb="FFC00000"/>
      <name val="Arial"/>
      <family val="2"/>
      <charset val="1"/>
    </font>
    <font>
      <i/>
      <sz val="10"/>
      <name val="Arial"/>
      <family val="2"/>
      <charset val="1"/>
    </font>
    <font>
      <sz val="9"/>
      <name val="Arial"/>
      <family val="2"/>
      <charset val="1"/>
    </font>
    <font>
      <b/>
      <sz val="14"/>
      <color rgb="FF1F3864"/>
      <name val="Arial"/>
      <family val="2"/>
      <charset val="1"/>
    </font>
    <font>
      <sz val="10"/>
      <color rgb="FF0000FF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10"/>
      <color rgb="FF1F3864"/>
      <name val="Arial"/>
      <charset val="1"/>
    </font>
    <font>
      <b/>
      <sz val="9"/>
      <color rgb="FF595959"/>
      <name val="Arial"/>
      <charset val="1"/>
    </font>
    <font>
      <i/>
      <sz val="9"/>
      <color rgb="FF595959"/>
      <name val="Arial"/>
      <charset val="1"/>
    </font>
    <font>
      <b/>
      <u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charset val="1"/>
    </font>
    <font>
      <b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FCE9C8"/>
        <bgColor rgb="FFFDEADA"/>
      </patternFill>
    </fill>
    <fill>
      <patternFill patternType="solid">
        <fgColor rgb="FFFFF2CC"/>
        <bgColor rgb="FFFCE9C8"/>
      </patternFill>
    </fill>
    <fill>
      <patternFill patternType="solid">
        <fgColor theme="4" tint="0.79989013336588644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9" tint="0.79989013336588644"/>
        <bgColor rgb="FFFCE9C8"/>
      </patternFill>
    </fill>
    <fill>
      <patternFill patternType="solid">
        <fgColor rgb="FFE2EFDA"/>
        <bgColor rgb="FFDBEEF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9" fontId="6" fillId="0" borderId="0"/>
  </cellStyleXfs>
  <cellXfs count="14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7" fillId="0" borderId="1" xfId="0" applyNumberFormat="1" applyFont="1" applyBorder="1" applyAlignment="1">
      <alignment vertical="center"/>
    </xf>
    <xf numFmtId="2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0" fontId="18" fillId="6" borderId="1" xfId="0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16" fillId="5" borderId="0" xfId="0" applyFont="1" applyFill="1"/>
    <xf numFmtId="2" fontId="16" fillId="5" borderId="0" xfId="0" applyNumberFormat="1" applyFont="1" applyFill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19" fillId="8" borderId="1" xfId="0" applyFont="1" applyFill="1" applyBorder="1"/>
    <xf numFmtId="166" fontId="6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2" fontId="6" fillId="0" borderId="1" xfId="0" applyNumberFormat="1" applyFont="1" applyBorder="1"/>
    <xf numFmtId="4" fontId="6" fillId="0" borderId="1" xfId="0" applyNumberFormat="1" applyFont="1" applyBorder="1"/>
    <xf numFmtId="0" fontId="12" fillId="0" borderId="0" xfId="0" applyFont="1"/>
    <xf numFmtId="3" fontId="6" fillId="0" borderId="1" xfId="0" applyNumberFormat="1" applyFont="1" applyBorder="1"/>
    <xf numFmtId="3" fontId="5" fillId="0" borderId="1" xfId="0" applyNumberFormat="1" applyFont="1" applyBorder="1"/>
    <xf numFmtId="1" fontId="6" fillId="0" borderId="1" xfId="0" applyNumberFormat="1" applyFont="1" applyBorder="1"/>
    <xf numFmtId="49" fontId="6" fillId="0" borderId="1" xfId="0" applyNumberFormat="1" applyFont="1" applyBorder="1"/>
    <xf numFmtId="164" fontId="16" fillId="5" borderId="1" xfId="0" applyNumberFormat="1" applyFont="1" applyFill="1" applyBorder="1"/>
    <xf numFmtId="0" fontId="8" fillId="0" borderId="0" xfId="0" applyFont="1"/>
    <xf numFmtId="0" fontId="0" fillId="0" borderId="0" xfId="0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3" fontId="6" fillId="9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167" fontId="6" fillId="9" borderId="1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3" fontId="6" fillId="10" borderId="1" xfId="0" applyNumberFormat="1" applyFont="1" applyFill="1" applyBorder="1" applyAlignment="1">
      <alignment horizontal="center" vertical="center"/>
    </xf>
    <xf numFmtId="167" fontId="6" fillId="10" borderId="1" xfId="0" applyNumberFormat="1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22" fillId="0" borderId="0" xfId="0" applyFont="1"/>
    <xf numFmtId="0" fontId="25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3" fontId="27" fillId="4" borderId="1" xfId="0" applyNumberFormat="1" applyFont="1" applyFill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166" fontId="6" fillId="0" borderId="0" xfId="0" applyNumberFormat="1" applyFont="1" applyBorder="1"/>
    <xf numFmtId="164" fontId="6" fillId="0" borderId="0" xfId="0" applyNumberFormat="1" applyFont="1" applyBorder="1"/>
    <xf numFmtId="0" fontId="6" fillId="0" borderId="0" xfId="0" applyFont="1" applyBorder="1"/>
    <xf numFmtId="0" fontId="0" fillId="0" borderId="0" xfId="0" applyBorder="1"/>
    <xf numFmtId="0" fontId="5" fillId="0" borderId="0" xfId="0" applyFont="1" applyBorder="1"/>
    <xf numFmtId="0" fontId="8" fillId="0" borderId="0" xfId="0" applyFont="1" applyBorder="1"/>
    <xf numFmtId="0" fontId="2" fillId="0" borderId="0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4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1" fillId="0" borderId="0" xfId="0" applyFont="1" applyBorder="1"/>
    <xf numFmtId="0" fontId="29" fillId="0" borderId="0" xfId="0" applyFont="1" applyBorder="1"/>
    <xf numFmtId="0" fontId="30" fillId="0" borderId="0" xfId="0" applyFont="1" applyBorder="1"/>
    <xf numFmtId="0" fontId="20" fillId="0" borderId="0" xfId="0" applyFont="1" applyBorder="1"/>
    <xf numFmtId="0" fontId="21" fillId="0" borderId="0" xfId="0" applyFont="1" applyBorder="1"/>
    <xf numFmtId="0" fontId="23" fillId="4" borderId="0" xfId="0" applyFont="1" applyFill="1" applyBorder="1"/>
    <xf numFmtId="0" fontId="24" fillId="11" borderId="0" xfId="0" applyFont="1" applyFill="1" applyBorder="1"/>
    <xf numFmtId="0" fontId="28" fillId="0" borderId="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7" xfId="0" applyBorder="1"/>
    <xf numFmtId="0" fontId="33" fillId="12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 vertical="center"/>
    </xf>
    <xf numFmtId="3" fontId="35" fillId="11" borderId="1" xfId="0" applyNumberFormat="1" applyFont="1" applyFill="1" applyBorder="1" applyAlignment="1">
      <alignment horizontal="center"/>
    </xf>
    <xf numFmtId="3" fontId="16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CE9C8"/>
      <rgbColor rgb="FFFDEADA"/>
      <rgbColor rgb="FFFF99CC"/>
      <rgbColor rgb="FFCC99FF"/>
      <rgbColor rgb="FFD9D9D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BD7A1"/>
      <color rgb="FFFFB115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Overtime Aktual vs Index Ideal (Model) vs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'Index Ideal'!$F$2</c:f>
              <c:strCache>
                <c:ptCount val="1"/>
                <c:pt idx="0">
                  <c:v>Overtime Aktual (Y)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'Index Ideal'!$A$3:$A$32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'Index Ideal'!$F$3:$F$32</c:f>
              <c:numCache>
                <c:formatCode>#,##0</c:formatCode>
                <c:ptCount val="30"/>
                <c:pt idx="0">
                  <c:v>81305</c:v>
                </c:pt>
                <c:pt idx="1">
                  <c:v>67057</c:v>
                </c:pt>
                <c:pt idx="2">
                  <c:v>39619</c:v>
                </c:pt>
                <c:pt idx="3">
                  <c:v>42895</c:v>
                </c:pt>
                <c:pt idx="4">
                  <c:v>36966</c:v>
                </c:pt>
                <c:pt idx="5">
                  <c:v>59948</c:v>
                </c:pt>
                <c:pt idx="6">
                  <c:v>82171</c:v>
                </c:pt>
                <c:pt idx="7">
                  <c:v>90534</c:v>
                </c:pt>
                <c:pt idx="8">
                  <c:v>100190</c:v>
                </c:pt>
                <c:pt idx="9">
                  <c:v>91437</c:v>
                </c:pt>
                <c:pt idx="10">
                  <c:v>76332</c:v>
                </c:pt>
                <c:pt idx="11">
                  <c:v>62074</c:v>
                </c:pt>
                <c:pt idx="12">
                  <c:v>89619</c:v>
                </c:pt>
                <c:pt idx="13">
                  <c:v>75216</c:v>
                </c:pt>
                <c:pt idx="14">
                  <c:v>78847</c:v>
                </c:pt>
                <c:pt idx="15">
                  <c:v>92254</c:v>
                </c:pt>
                <c:pt idx="16">
                  <c:v>68708</c:v>
                </c:pt>
                <c:pt idx="17">
                  <c:v>91078</c:v>
                </c:pt>
                <c:pt idx="18">
                  <c:v>73434</c:v>
                </c:pt>
                <c:pt idx="19">
                  <c:v>60522</c:v>
                </c:pt>
                <c:pt idx="20">
                  <c:v>44904</c:v>
                </c:pt>
                <c:pt idx="21">
                  <c:v>45540</c:v>
                </c:pt>
                <c:pt idx="22">
                  <c:v>38491</c:v>
                </c:pt>
                <c:pt idx="23">
                  <c:v>29413</c:v>
                </c:pt>
                <c:pt idx="24">
                  <c:v>62983</c:v>
                </c:pt>
                <c:pt idx="25">
                  <c:v>58430</c:v>
                </c:pt>
                <c:pt idx="26">
                  <c:v>62758</c:v>
                </c:pt>
                <c:pt idx="27">
                  <c:v>86773</c:v>
                </c:pt>
                <c:pt idx="28">
                  <c:v>84938</c:v>
                </c:pt>
                <c:pt idx="29">
                  <c:v>84449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18-48DA-AC7D-6826B9F1626A}"/>
            </c:ext>
          </c:extLst>
        </c:ser>
        <c:ser>
          <c:idx val="1"/>
          <c:order val="1"/>
          <c:tx>
            <c:strRef>
              <c:f>'Index Ideal'!$G$2</c:f>
              <c:strCache>
                <c:ptCount val="1"/>
                <c:pt idx="0">
                  <c:v>Index Ideal (Model Regresi)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'Index Ideal'!$A$3:$A$32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'Index Ideal'!$G$3:$G$32</c:f>
              <c:numCache>
                <c:formatCode>#,##0</c:formatCode>
                <c:ptCount val="30"/>
                <c:pt idx="0">
                  <c:v>63244.935584395207</c:v>
                </c:pt>
                <c:pt idx="1">
                  <c:v>52741.559199552707</c:v>
                </c:pt>
                <c:pt idx="2">
                  <c:v>45361.566139926435</c:v>
                </c:pt>
                <c:pt idx="3">
                  <c:v>50554.968557380649</c:v>
                </c:pt>
                <c:pt idx="4">
                  <c:v>49363.51311498908</c:v>
                </c:pt>
                <c:pt idx="5">
                  <c:v>57736.888988912906</c:v>
                </c:pt>
                <c:pt idx="6">
                  <c:v>64273.221061533826</c:v>
                </c:pt>
                <c:pt idx="7">
                  <c:v>88386.227053641298</c:v>
                </c:pt>
                <c:pt idx="8">
                  <c:v>83665.366301540882</c:v>
                </c:pt>
                <c:pt idx="9">
                  <c:v>80318.30753124645</c:v>
                </c:pt>
                <c:pt idx="10">
                  <c:v>81757.752249126439</c:v>
                </c:pt>
                <c:pt idx="11">
                  <c:v>76964.701113837771</c:v>
                </c:pt>
                <c:pt idx="12">
                  <c:v>72001.263698425042</c:v>
                </c:pt>
                <c:pt idx="13">
                  <c:v>62640.219148900214</c:v>
                </c:pt>
                <c:pt idx="14">
                  <c:v>78594.45337738411</c:v>
                </c:pt>
                <c:pt idx="15">
                  <c:v>77889.553771640116</c:v>
                </c:pt>
                <c:pt idx="16">
                  <c:v>74552.960965304024</c:v>
                </c:pt>
                <c:pt idx="17">
                  <c:v>78497.464066646993</c:v>
                </c:pt>
                <c:pt idx="18">
                  <c:v>63548.142100096535</c:v>
                </c:pt>
                <c:pt idx="19">
                  <c:v>75009.532269214236</c:v>
                </c:pt>
                <c:pt idx="20">
                  <c:v>60794.711978430394</c:v>
                </c:pt>
                <c:pt idx="21">
                  <c:v>52518.986202158034</c:v>
                </c:pt>
                <c:pt idx="22">
                  <c:v>56823.800666576659</c:v>
                </c:pt>
                <c:pt idx="23">
                  <c:v>44125.709296740504</c:v>
                </c:pt>
                <c:pt idx="24">
                  <c:v>60678.614676520141</c:v>
                </c:pt>
                <c:pt idx="25">
                  <c:v>55133.025238811824</c:v>
                </c:pt>
                <c:pt idx="26">
                  <c:v>53222.998014000099</c:v>
                </c:pt>
                <c:pt idx="27">
                  <c:v>87624.852304273838</c:v>
                </c:pt>
                <c:pt idx="28">
                  <c:v>74169.654377374449</c:v>
                </c:pt>
                <c:pt idx="29">
                  <c:v>97279.050951419675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18-48DA-AC7D-6826B9F1626A}"/>
            </c:ext>
          </c:extLst>
        </c:ser>
        <c:ser>
          <c:idx val="2"/>
          <c:order val="2"/>
          <c:tx>
            <c:strRef>
              <c:f>'Index Ideal'!$M$2</c:f>
              <c:strCache>
                <c:ptCount val="1"/>
                <c:pt idx="0">
                  <c:v>Index Ideal Benchmark (Efisien)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'Index Ideal'!$A$3:$A$32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'Index Ideal'!$M$3:$M$32</c:f>
              <c:numCache>
                <c:formatCode>#,##0</c:formatCode>
                <c:ptCount val="30"/>
                <c:pt idx="0">
                  <c:v>59205.638999814117</c:v>
                </c:pt>
                <c:pt idx="1">
                  <c:v>51335.690848245649</c:v>
                </c:pt>
                <c:pt idx="2">
                  <c:v>42131.853179462189</c:v>
                </c:pt>
                <c:pt idx="3">
                  <c:v>44818.687778423817</c:v>
                </c:pt>
                <c:pt idx="4">
                  <c:v>38263.573579538701</c:v>
                </c:pt>
                <c:pt idx="5">
                  <c:v>50668.746089638153</c:v>
                </c:pt>
                <c:pt idx="6">
                  <c:v>54098.747705333852</c:v>
                </c:pt>
                <c:pt idx="7">
                  <c:v>64293.47472976274</c:v>
                </c:pt>
                <c:pt idx="8">
                  <c:v>61130.25101751004</c:v>
                </c:pt>
                <c:pt idx="9">
                  <c:v>57604.971579156125</c:v>
                </c:pt>
                <c:pt idx="10">
                  <c:v>61682.862388927679</c:v>
                </c:pt>
                <c:pt idx="11">
                  <c:v>57433.471498371342</c:v>
                </c:pt>
                <c:pt idx="12">
                  <c:v>49868.412379309157</c:v>
                </c:pt>
                <c:pt idx="13">
                  <c:v>46552.744150803308</c:v>
                </c:pt>
                <c:pt idx="14">
                  <c:v>57242.91585305491</c:v>
                </c:pt>
                <c:pt idx="15">
                  <c:v>55909.026335839917</c:v>
                </c:pt>
                <c:pt idx="16">
                  <c:v>51773.968832473431</c:v>
                </c:pt>
                <c:pt idx="17">
                  <c:v>56404.471013662631</c:v>
                </c:pt>
                <c:pt idx="18">
                  <c:v>53965.358753612352</c:v>
                </c:pt>
                <c:pt idx="19">
                  <c:v>64827.030536648737</c:v>
                </c:pt>
                <c:pt idx="20">
                  <c:v>52345.635768422719</c:v>
                </c:pt>
                <c:pt idx="21">
                  <c:v>46800.466489714665</c:v>
                </c:pt>
                <c:pt idx="22">
                  <c:v>46933.855441436164</c:v>
                </c:pt>
                <c:pt idx="23">
                  <c:v>38073.017934222276</c:v>
                </c:pt>
                <c:pt idx="24">
                  <c:v>47353.077861132311</c:v>
                </c:pt>
                <c:pt idx="25">
                  <c:v>43637.242777461965</c:v>
                </c:pt>
                <c:pt idx="26">
                  <c:v>41407.74172725976</c:v>
                </c:pt>
                <c:pt idx="27">
                  <c:v>62559.418357383249</c:v>
                </c:pt>
                <c:pt idx="28">
                  <c:v>55051.525931915989</c:v>
                </c:pt>
                <c:pt idx="29">
                  <c:v>70467.477638015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418-48DA-AC7D-6826B9F16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200223"/>
        <c:axId val="41582467"/>
      </c:lineChart>
      <c:catAx>
        <c:axId val="63200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D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Periode 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82467"/>
        <c:crosses val="autoZero"/>
        <c:auto val="1"/>
        <c:lblAlgn val="ctr"/>
        <c:lblOffset val="100"/>
        <c:noMultiLvlLbl val="0"/>
      </c:catAx>
      <c:valAx>
        <c:axId val="41582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D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Index Overtime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00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1200"/>
              <a:t>Target</a:t>
            </a:r>
            <a:r>
              <a:rPr lang="en-ID" sz="1200" baseline="0"/>
              <a:t> Index Overtime</a:t>
            </a:r>
            <a:endParaRPr lang="en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Indeks Aktual</c:v>
                </c:pt>
              </c:strCache>
            </c:strRef>
          </c:tx>
          <c:spPr>
            <a:solidFill>
              <a:srgbClr val="9BD7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Grafik!$B$3:$B$14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Grafik!$C$3:$C$14</c:f>
              <c:numCache>
                <c:formatCode>#,##0</c:formatCode>
                <c:ptCount val="12"/>
                <c:pt idx="0">
                  <c:v>62983</c:v>
                </c:pt>
                <c:pt idx="1">
                  <c:v>58430</c:v>
                </c:pt>
                <c:pt idx="2">
                  <c:v>62758</c:v>
                </c:pt>
                <c:pt idx="3">
                  <c:v>86773</c:v>
                </c:pt>
                <c:pt idx="4">
                  <c:v>84938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0-4811-9EE9-388AA8E2834A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Indeks Ideal (Model Regresi)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1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060-4811-9EE9-388AA8E2834A}"/>
              </c:ext>
            </c:extLst>
          </c:dPt>
          <c:dPt>
            <c:idx val="1"/>
            <c:invertIfNegative val="0"/>
            <c:bubble3D val="0"/>
            <c:spPr>
              <a:solidFill>
                <a:srgbClr val="FFB1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0-4811-9EE9-388AA8E2834A}"/>
              </c:ext>
            </c:extLst>
          </c:dPt>
          <c:dPt>
            <c:idx val="2"/>
            <c:invertIfNegative val="0"/>
            <c:bubble3D val="0"/>
            <c:spPr>
              <a:solidFill>
                <a:srgbClr val="FFB1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060-4811-9EE9-388AA8E2834A}"/>
              </c:ext>
            </c:extLst>
          </c:dPt>
          <c:dPt>
            <c:idx val="3"/>
            <c:invertIfNegative val="0"/>
            <c:bubble3D val="0"/>
            <c:spPr>
              <a:solidFill>
                <a:srgbClr val="FFB1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0-4811-9EE9-388AA8E2834A}"/>
              </c:ext>
            </c:extLst>
          </c:dPt>
          <c:dPt>
            <c:idx val="4"/>
            <c:invertIfNegative val="0"/>
            <c:bubble3D val="0"/>
            <c:spPr>
              <a:solidFill>
                <a:srgbClr val="FFB11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060-4811-9EE9-388AA8E2834A}"/>
              </c:ext>
            </c:extLst>
          </c:dPt>
          <c:dPt>
            <c:idx val="5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0-4811-9EE9-388AA8E2834A}"/>
              </c:ext>
            </c:extLst>
          </c:dPt>
          <c:dPt>
            <c:idx val="6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0-4811-9EE9-388AA8E2834A}"/>
              </c:ext>
            </c:extLst>
          </c:dPt>
          <c:dPt>
            <c:idx val="7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60-4811-9EE9-388AA8E2834A}"/>
              </c:ext>
            </c:extLst>
          </c:dPt>
          <c:dPt>
            <c:idx val="8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0-4811-9EE9-388AA8E2834A}"/>
              </c:ext>
            </c:extLst>
          </c:dPt>
          <c:dPt>
            <c:idx val="9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60-4811-9EE9-388AA8E2834A}"/>
              </c:ext>
            </c:extLst>
          </c:dPt>
          <c:dPt>
            <c:idx val="10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0-4811-9EE9-388AA8E2834A}"/>
              </c:ext>
            </c:extLst>
          </c:dPt>
          <c:dPt>
            <c:idx val="11"/>
            <c:invertIfNegative val="0"/>
            <c:bubble3D val="0"/>
            <c:spPr>
              <a:pattFill prst="ltDnDiag">
                <a:fgClr>
                  <a:srgbClr val="FFCC66"/>
                </a:fgClr>
                <a:bgClr>
                  <a:schemeClr val="bg1"/>
                </a:bgClr>
              </a:patt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60-4811-9EE9-388AA8E2834A}"/>
              </c:ext>
            </c:extLst>
          </c:dPt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2060-4811-9EE9-388AA8E283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Grafik!$B$3:$B$14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Grafik!$D$3:$D$14</c:f>
              <c:numCache>
                <c:formatCode>#,##0</c:formatCode>
                <c:ptCount val="12"/>
                <c:pt idx="0">
                  <c:v>60678.614676520141</c:v>
                </c:pt>
                <c:pt idx="1">
                  <c:v>55133.025238811824</c:v>
                </c:pt>
                <c:pt idx="2">
                  <c:v>53222.998014000099</c:v>
                </c:pt>
                <c:pt idx="3">
                  <c:v>87624.852304273838</c:v>
                </c:pt>
                <c:pt idx="4">
                  <c:v>74169.654377374449</c:v>
                </c:pt>
                <c:pt idx="5">
                  <c:v>97279.050951419675</c:v>
                </c:pt>
                <c:pt idx="6">
                  <c:v>69943.302587330982</c:v>
                </c:pt>
                <c:pt idx="7">
                  <c:v>64976.452186261304</c:v>
                </c:pt>
                <c:pt idx="8">
                  <c:v>81655.518135146296</c:v>
                </c:pt>
                <c:pt idx="9">
                  <c:v>86286.442554811016</c:v>
                </c:pt>
                <c:pt idx="10">
                  <c:v>74683.363115913642</c:v>
                </c:pt>
                <c:pt idx="11">
                  <c:v>77930.019589814037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0-4811-9EE9-388AA8E28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-11"/>
        <c:axId val="671164672"/>
        <c:axId val="671165504"/>
      </c:barChart>
      <c:catAx>
        <c:axId val="6711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65504"/>
        <c:crosses val="autoZero"/>
        <c:auto val="1"/>
        <c:lblAlgn val="ctr"/>
        <c:lblOffset val="100"/>
        <c:noMultiLvlLbl val="0"/>
      </c:catAx>
      <c:valAx>
        <c:axId val="671165504"/>
        <c:scaling>
          <c:orientation val="minMax"/>
          <c:max val="1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800"/>
                  <a:t>Satuan dalam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6467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48240</xdr:rowOff>
    </xdr:from>
    <xdr:to>
      <xdr:col>6</xdr:col>
      <xdr:colOff>977400</xdr:colOff>
      <xdr:row>66</xdr:row>
      <xdr:rowOff>48240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193674</xdr:colOff>
      <xdr:row>0</xdr:row>
      <xdr:rowOff>142875</xdr:rowOff>
    </xdr:from>
    <xdr:to>
      <xdr:col>13</xdr:col>
      <xdr:colOff>196850</xdr:colOff>
      <xdr:row>14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F05EEF-834B-419E-A7D3-6DAFE3D15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topLeftCell="A25" zoomScale="70" zoomScaleNormal="70" workbookViewId="0">
      <selection activeCell="D34" sqref="D34"/>
    </sheetView>
  </sheetViews>
  <sheetFormatPr defaultColWidth="8.6328125" defaultRowHeight="14.5" x14ac:dyDescent="0.35"/>
  <cols>
    <col min="1" max="1" width="42" style="1" customWidth="1"/>
    <col min="2" max="2" width="30.81640625" style="1" customWidth="1"/>
    <col min="3" max="3" width="68" style="1" customWidth="1"/>
    <col min="4" max="4" width="24.1796875" style="1" customWidth="1"/>
    <col min="5" max="6" width="18" style="1" customWidth="1"/>
    <col min="7" max="7" width="37.08984375" style="1" customWidth="1"/>
    <col min="8" max="16384" width="8.6328125" style="1"/>
  </cols>
  <sheetData>
    <row r="1" spans="1:7" ht="19.5" customHeight="1" x14ac:dyDescent="0.35">
      <c r="A1" s="2" t="s">
        <v>0</v>
      </c>
    </row>
    <row r="2" spans="1:7" ht="15" customHeight="1" x14ac:dyDescent="0.35">
      <c r="A2" s="3" t="s">
        <v>1</v>
      </c>
    </row>
    <row r="4" spans="1:7" ht="15" customHeight="1" x14ac:dyDescent="0.35">
      <c r="A4" s="4" t="s">
        <v>2</v>
      </c>
    </row>
    <row r="5" spans="1:7" ht="15" customHeight="1" x14ac:dyDescent="0.35">
      <c r="A5" s="5" t="s">
        <v>3</v>
      </c>
      <c r="B5" s="5" t="s">
        <v>4</v>
      </c>
      <c r="C5" s="5" t="s">
        <v>5</v>
      </c>
    </row>
    <row r="6" spans="1:7" ht="42" customHeight="1" x14ac:dyDescent="0.35">
      <c r="A6" s="6" t="s">
        <v>6</v>
      </c>
      <c r="B6" s="7" t="s">
        <v>7</v>
      </c>
      <c r="C6" s="8" t="s">
        <v>8</v>
      </c>
    </row>
    <row r="7" spans="1:7" ht="42" customHeight="1" x14ac:dyDescent="0.35">
      <c r="A7" s="6" t="s">
        <v>9</v>
      </c>
      <c r="B7" s="7" t="s">
        <v>10</v>
      </c>
      <c r="C7" s="8" t="s">
        <v>11</v>
      </c>
    </row>
    <row r="8" spans="1:7" ht="42" customHeight="1" x14ac:dyDescent="0.35">
      <c r="A8" s="6" t="s">
        <v>12</v>
      </c>
      <c r="B8" s="7" t="s">
        <v>13</v>
      </c>
      <c r="C8" s="8" t="s">
        <v>14</v>
      </c>
    </row>
    <row r="9" spans="1:7" ht="42" customHeight="1" x14ac:dyDescent="0.35">
      <c r="A9" s="6" t="s">
        <v>15</v>
      </c>
      <c r="B9" s="7" t="s">
        <v>16</v>
      </c>
      <c r="C9" s="8" t="s">
        <v>17</v>
      </c>
    </row>
    <row r="10" spans="1:7" ht="42" customHeight="1" x14ac:dyDescent="0.35">
      <c r="A10" s="6" t="s">
        <v>18</v>
      </c>
      <c r="B10" s="7" t="s">
        <v>19</v>
      </c>
      <c r="C10" s="8" t="s">
        <v>20</v>
      </c>
    </row>
    <row r="11" spans="1:7" ht="42" customHeight="1" x14ac:dyDescent="0.35">
      <c r="A11" s="6" t="s">
        <v>21</v>
      </c>
      <c r="B11" s="7" t="s">
        <v>22</v>
      </c>
      <c r="C11" s="8" t="s">
        <v>23</v>
      </c>
    </row>
    <row r="12" spans="1:7" ht="42" customHeight="1" x14ac:dyDescent="0.35">
      <c r="A12" s="6" t="s">
        <v>24</v>
      </c>
      <c r="B12" s="7" t="s">
        <v>25</v>
      </c>
      <c r="C12" s="8" t="s">
        <v>26</v>
      </c>
    </row>
    <row r="13" spans="1:7" ht="42" customHeight="1" x14ac:dyDescent="0.35">
      <c r="A13" s="6" t="s">
        <v>27</v>
      </c>
      <c r="B13" s="7" t="s">
        <v>28</v>
      </c>
      <c r="C13" s="8" t="s">
        <v>29</v>
      </c>
    </row>
    <row r="14" spans="1:7" ht="15" customHeight="1" x14ac:dyDescent="0.35"/>
    <row r="15" spans="1:7" ht="15" customHeight="1" x14ac:dyDescent="0.35">
      <c r="A15" s="4" t="s">
        <v>30</v>
      </c>
    </row>
    <row r="16" spans="1:7" ht="15" customHeight="1" x14ac:dyDescent="0.35">
      <c r="A16" s="9" t="s">
        <v>31</v>
      </c>
      <c r="B16" s="9" t="s">
        <v>32</v>
      </c>
      <c r="C16" s="9" t="s">
        <v>33</v>
      </c>
      <c r="D16" s="9" t="s">
        <v>34</v>
      </c>
      <c r="E16" s="9" t="s">
        <v>35</v>
      </c>
      <c r="F16" s="9" t="s">
        <v>36</v>
      </c>
      <c r="G16" s="9" t="s">
        <v>37</v>
      </c>
    </row>
    <row r="17" spans="1:7" ht="15" customHeight="1" x14ac:dyDescent="0.35">
      <c r="A17" s="10" t="s">
        <v>38</v>
      </c>
      <c r="B17" s="11">
        <f>'Korelasi Pearson'!B16</f>
        <v>6.5955224106176769E-2</v>
      </c>
      <c r="C17" s="12">
        <f>'Korelasi Pearson'!C16*100</f>
        <v>0.43500915868960011</v>
      </c>
      <c r="D17" s="11">
        <f>'Korelasi Pearson'!D16</f>
        <v>0.34976382277235279</v>
      </c>
      <c r="E17" s="11">
        <f>'Korelasi Pearson'!F16</f>
        <v>0.72913313782558298</v>
      </c>
      <c r="F17" s="13" t="str">
        <f>'Korelasi Pearson'!G16</f>
        <v>Tidak Signifikan (Terima H0)</v>
      </c>
      <c r="G17" s="13" t="str">
        <f>'Korelasi Pearson'!H16</f>
        <v>Sangat Lemah / Positif</v>
      </c>
    </row>
    <row r="18" spans="1:7" ht="15" customHeight="1" x14ac:dyDescent="0.35">
      <c r="A18" s="10" t="s">
        <v>39</v>
      </c>
      <c r="B18" s="11">
        <f>'Korelasi Pearson'!B17</f>
        <v>0.63709450319400951</v>
      </c>
      <c r="C18" s="12">
        <f>'Korelasi Pearson'!C17*100</f>
        <v>40.588940600002175</v>
      </c>
      <c r="D18" s="11">
        <f>'Korelasi Pearson'!D17</f>
        <v>4.373702363644079</v>
      </c>
      <c r="E18" s="11">
        <f>'Korelasi Pearson'!F17</f>
        <v>1.5319004579919412E-4</v>
      </c>
      <c r="F18" s="13" t="str">
        <f>'Korelasi Pearson'!G17</f>
        <v>Signifikan (Tolak H0)</v>
      </c>
      <c r="G18" s="13" t="str">
        <f>'Korelasi Pearson'!H17</f>
        <v>Kuat / Positif</v>
      </c>
    </row>
    <row r="19" spans="1:7" ht="15" customHeight="1" x14ac:dyDescent="0.35">
      <c r="A19" s="10" t="s">
        <v>40</v>
      </c>
      <c r="B19" s="11">
        <f>'Korelasi Pearson'!B18</f>
        <v>-0.41361305316048758</v>
      </c>
      <c r="C19" s="12">
        <f>'Korelasi Pearson'!C18*100</f>
        <v>17.107575774474032</v>
      </c>
      <c r="D19" s="11">
        <f>'Korelasi Pearson'!D18</f>
        <v>-2.4038968664109932</v>
      </c>
      <c r="E19" s="11">
        <f>'Korelasi Pearson'!F18</f>
        <v>2.3085682587757676E-2</v>
      </c>
      <c r="F19" s="13" t="str">
        <f>'Korelasi Pearson'!G18</f>
        <v>Signifikan (Tolak H0)</v>
      </c>
      <c r="G19" s="13" t="str">
        <f>'Korelasi Pearson'!H18</f>
        <v>Sedang / Negatif</v>
      </c>
    </row>
    <row r="20" spans="1:7" ht="15" customHeight="1" x14ac:dyDescent="0.35"/>
    <row r="21" spans="1:7" ht="15" customHeight="1" x14ac:dyDescent="0.35">
      <c r="A21" s="4" t="s">
        <v>41</v>
      </c>
    </row>
    <row r="22" spans="1:7" ht="15" customHeight="1" x14ac:dyDescent="0.35">
      <c r="A22" s="6" t="s">
        <v>42</v>
      </c>
      <c r="B22" s="14">
        <f>Regresi!E28</f>
        <v>8.6890147757780447</v>
      </c>
    </row>
    <row r="23" spans="1:7" ht="15" customHeight="1" x14ac:dyDescent="0.35">
      <c r="A23" s="6" t="s">
        <v>43</v>
      </c>
      <c r="B23" s="14">
        <f>Regresi!F28</f>
        <v>2.9751539639733933</v>
      </c>
    </row>
    <row r="24" spans="1:7" ht="15" customHeight="1" x14ac:dyDescent="0.35">
      <c r="A24" s="6" t="s">
        <v>44</v>
      </c>
      <c r="B24" s="15">
        <f>Regresi!G28</f>
        <v>3.6769476625170006E-4</v>
      </c>
    </row>
    <row r="25" spans="1:7" ht="15" customHeight="1" x14ac:dyDescent="0.35">
      <c r="A25" s="6" t="s">
        <v>45</v>
      </c>
      <c r="B25" s="16" t="str">
        <f>Regresi!C28&amp;" ; "&amp;Regresi!C29</f>
        <v>3 ; 26</v>
      </c>
    </row>
    <row r="26" spans="1:7" ht="15" customHeight="1" x14ac:dyDescent="0.35">
      <c r="A26" s="6" t="s">
        <v>36</v>
      </c>
      <c r="B26" s="16" t="str">
        <f>Regresi!H28</f>
        <v>Model SIGNIFIKAN / layak digunakan</v>
      </c>
    </row>
    <row r="27" spans="1:7" ht="15" customHeight="1" x14ac:dyDescent="0.35">
      <c r="A27" s="17" t="str">
        <f>IF(Regresi!G28&lt;0.05,"Kesimpulan: P-Value uji F &lt; 0,05 sehingga H0 ditolak — Hari Kerja, Volume Produksi, dan Man Power secara bersama-sama berpengaruh signifikan terhadap Index Overtime.","Kesimpulan: P-Value uji F &gt; 0,05 — secara simultan ketiga variabel belum terbukti berpengaruh signifikan terhadap Index Overtime.")</f>
        <v>Kesimpulan: P-Value uji F &lt; 0,05 sehingga H0 ditolak — Hari Kerja, Volume Produksi, dan Man Power secara bersama-sama berpengaruh signifikan terhadap Index Overtime.</v>
      </c>
    </row>
    <row r="28" spans="1:7" ht="15" customHeight="1" x14ac:dyDescent="0.35"/>
    <row r="29" spans="1:7" ht="15" customHeight="1" x14ac:dyDescent="0.35">
      <c r="A29" s="4" t="s">
        <v>46</v>
      </c>
    </row>
    <row r="30" spans="1:7" ht="26.25" customHeight="1" x14ac:dyDescent="0.35">
      <c r="A30" s="9" t="s">
        <v>31</v>
      </c>
      <c r="B30" s="9" t="s">
        <v>47</v>
      </c>
      <c r="C30" s="9" t="s">
        <v>48</v>
      </c>
      <c r="D30" s="9" t="s">
        <v>34</v>
      </c>
      <c r="E30" s="9" t="s">
        <v>35</v>
      </c>
      <c r="F30" s="9" t="s">
        <v>36</v>
      </c>
      <c r="G30" s="9" t="s">
        <v>49</v>
      </c>
    </row>
    <row r="31" spans="1:7" ht="28.5" customHeight="1" x14ac:dyDescent="0.35">
      <c r="A31" s="18" t="s">
        <v>50</v>
      </c>
      <c r="B31" s="19">
        <f>Regresi!B20</f>
        <v>114350.61666751064</v>
      </c>
      <c r="C31" s="20">
        <f>Regresi!C20</f>
        <v>60994.022557157652</v>
      </c>
      <c r="D31" s="20">
        <f>Regresi!D20</f>
        <v>1.8747839849446293</v>
      </c>
      <c r="E31" s="21">
        <f>Regresi!E20</f>
        <v>7.2098650609151729E-2</v>
      </c>
      <c r="F31" s="22" t="str">
        <f>Regresi!G20</f>
        <v>Tidak Signifikan</v>
      </c>
      <c r="G31" s="23" t="s">
        <v>51</v>
      </c>
    </row>
    <row r="32" spans="1:7" ht="61.5" customHeight="1" x14ac:dyDescent="0.35">
      <c r="A32" s="18" t="s">
        <v>38</v>
      </c>
      <c r="B32" s="19">
        <f>Regresi!B21</f>
        <v>-1417.3264378132369</v>
      </c>
      <c r="C32" s="20">
        <f>Regresi!C21</f>
        <v>1643.9125067189213</v>
      </c>
      <c r="D32" s="20">
        <f>Regresi!D21</f>
        <v>-0.86216658856259532</v>
      </c>
      <c r="E32" s="21">
        <f>Regresi!E21</f>
        <v>0.3964785097950827</v>
      </c>
      <c r="F32" s="22" t="str">
        <f>Regresi!G21</f>
        <v>Tidak Signifikan</v>
      </c>
      <c r="G32" s="23" t="s">
        <v>297</v>
      </c>
    </row>
    <row r="33" spans="1:7" ht="46.5" customHeight="1" x14ac:dyDescent="0.35">
      <c r="A33" s="18" t="s">
        <v>39</v>
      </c>
      <c r="B33" s="19">
        <f>Regresi!B22</f>
        <v>28.438920193375921</v>
      </c>
      <c r="C33" s="20">
        <f>Regresi!C22</f>
        <v>6.8897849138790939</v>
      </c>
      <c r="D33" s="20">
        <f>Regresi!D22</f>
        <v>4.1276934692238765</v>
      </c>
      <c r="E33" s="21">
        <f>Regresi!E22</f>
        <v>3.3485832961311246E-4</v>
      </c>
      <c r="F33" s="22" t="str">
        <f>Regresi!G22</f>
        <v>Signifikan</v>
      </c>
      <c r="G33" s="23" t="s">
        <v>52</v>
      </c>
    </row>
    <row r="34" spans="1:7" ht="46.5" customHeight="1" x14ac:dyDescent="0.35">
      <c r="A34" s="18" t="s">
        <v>40</v>
      </c>
      <c r="B34" s="19">
        <f>Regresi!B23</f>
        <v>-131.50163002091085</v>
      </c>
      <c r="C34" s="20">
        <f>Regresi!C23</f>
        <v>64.837729332614643</v>
      </c>
      <c r="D34" s="20">
        <f>Regresi!D23</f>
        <v>-2.0281652577053308</v>
      </c>
      <c r="E34" s="21">
        <f>Regresi!E23</f>
        <v>5.2904187328393283E-2</v>
      </c>
      <c r="F34" s="22" t="str">
        <f>Regresi!G23</f>
        <v>Tidak Signifikan</v>
      </c>
      <c r="G34" s="23" t="s">
        <v>298</v>
      </c>
    </row>
    <row r="35" spans="1:7" ht="15" customHeight="1" x14ac:dyDescent="0.35"/>
    <row r="36" spans="1:7" ht="15" customHeight="1" x14ac:dyDescent="0.35">
      <c r="A36" s="24" t="s">
        <v>53</v>
      </c>
      <c r="B36" s="25" t="str">
        <f>Regresi!A42</f>
        <v>Y = 114350,61667 + (-1417,32644 x X1) + (28,43892 x X2) + (-131,50163 x X3)</v>
      </c>
    </row>
    <row r="37" spans="1:7" ht="15" customHeight="1" x14ac:dyDescent="0.35">
      <c r="A37" s="6" t="s">
        <v>54</v>
      </c>
      <c r="B37" s="26">
        <f>Regresi!B34</f>
        <v>0.70756188909421325</v>
      </c>
    </row>
    <row r="38" spans="1:7" ht="15" customHeight="1" x14ac:dyDescent="0.35">
      <c r="A38" s="6" t="s">
        <v>55</v>
      </c>
      <c r="B38" s="26">
        <f>Regresi!B35</f>
        <v>0.50064382689857179</v>
      </c>
    </row>
    <row r="39" spans="1:7" ht="15" customHeight="1" x14ac:dyDescent="0.35">
      <c r="A39" s="6" t="s">
        <v>56</v>
      </c>
      <c r="B39" s="27">
        <f>Regresi!B36</f>
        <v>50.064382689857176</v>
      </c>
    </row>
    <row r="40" spans="1:7" ht="15" customHeight="1" x14ac:dyDescent="0.35">
      <c r="A40" s="6" t="s">
        <v>57</v>
      </c>
      <c r="B40" s="26">
        <f>Regresi!B37</f>
        <v>0.44302580692533011</v>
      </c>
    </row>
    <row r="41" spans="1:7" ht="15" customHeight="1" x14ac:dyDescent="0.35">
      <c r="A41" s="6" t="s">
        <v>58</v>
      </c>
      <c r="B41" s="28">
        <f>Regresi!B38</f>
        <v>14901.696563128273</v>
      </c>
    </row>
    <row r="42" spans="1:7" ht="15" customHeight="1" x14ac:dyDescent="0.35">
      <c r="A42" s="6" t="s">
        <v>59</v>
      </c>
      <c r="B42" s="27">
        <f>Regresi!B39</f>
        <v>17.024695740109539</v>
      </c>
    </row>
    <row r="43" spans="1:7" ht="15" customHeight="1" x14ac:dyDescent="0.35">
      <c r="A43" s="29" t="str">
        <f>"Artinya "&amp;TEXT(Regresi!B36,"0.0")&amp;"% variasi Index Overtime dapat dijelaskan oleh Hari Kerja, Volume Produksi, dan Man Power; sisanya "&amp;TEXT(100-Regresi!B36,"0.0")&amp;"% dijelaskan faktor lain di luar model (mis. breakdown mesin, absensi, urgensi pengiriman)."</f>
        <v>Artinya 50% variasi Index Overtime dapat dijelaskan oleh Hari Kerja, Volume Produksi, dan Man Power; sisanya 50% dijelaskan faktor lain di luar model (mis. breakdown mesin, absensi, urgensi pengiriman).</v>
      </c>
    </row>
    <row r="44" spans="1:7" ht="15" customHeight="1" x14ac:dyDescent="0.35"/>
    <row r="45" spans="1:7" ht="15" customHeight="1" x14ac:dyDescent="0.35">
      <c r="A45" s="4" t="s">
        <v>60</v>
      </c>
    </row>
    <row r="46" spans="1:7" ht="15" customHeight="1" x14ac:dyDescent="0.35">
      <c r="A46" s="6" t="s">
        <v>61</v>
      </c>
      <c r="B46" s="30">
        <f>AVERAGE('Index Ideal'!F3:F32)</f>
        <v>68629.5</v>
      </c>
    </row>
    <row r="47" spans="1:7" ht="15" customHeight="1" x14ac:dyDescent="0.35">
      <c r="A47" s="6" t="s">
        <v>62</v>
      </c>
      <c r="B47" s="30">
        <f>AVERAGE('Index Ideal'!G3:G32)</f>
        <v>67315.8</v>
      </c>
    </row>
    <row r="48" spans="1:7" ht="15" customHeight="1" x14ac:dyDescent="0.35">
      <c r="A48" s="6" t="s">
        <v>63</v>
      </c>
      <c r="B48" s="12">
        <f>'Index Ideal'!C35</f>
        <v>24.525031709354753</v>
      </c>
    </row>
    <row r="49" spans="1:7" ht="15" customHeight="1" x14ac:dyDescent="0.35">
      <c r="A49" s="6" t="s">
        <v>64</v>
      </c>
      <c r="B49" s="12">
        <f>'Index Ideal'!C36</f>
        <v>19.05556453164278</v>
      </c>
    </row>
    <row r="50" spans="1:7" ht="15" customHeight="1" x14ac:dyDescent="0.35">
      <c r="A50" s="6" t="s">
        <v>65</v>
      </c>
      <c r="B50" s="12">
        <f>'Index Ideal'!C37</f>
        <v>93.651672351001849</v>
      </c>
    </row>
    <row r="51" spans="1:7" ht="15" customHeight="1" x14ac:dyDescent="0.35">
      <c r="A51" s="6" t="s">
        <v>66</v>
      </c>
      <c r="B51" s="12">
        <f>'Index Ideal'!C38</f>
        <v>76.138198253261066</v>
      </c>
    </row>
    <row r="52" spans="1:7" ht="15" customHeight="1" x14ac:dyDescent="0.35">
      <c r="A52" s="6" t="s">
        <v>67</v>
      </c>
      <c r="B52" s="30">
        <f>'Index Ideal'!C39</f>
        <v>2058885</v>
      </c>
    </row>
    <row r="53" spans="1:7" ht="15" customHeight="1" x14ac:dyDescent="0.35">
      <c r="A53" s="6" t="s">
        <v>68</v>
      </c>
      <c r="B53" s="30">
        <f>'Index Ideal'!C40</f>
        <v>1583841.3571765528</v>
      </c>
    </row>
    <row r="54" spans="1:7" ht="15" customHeight="1" x14ac:dyDescent="0.35">
      <c r="A54" s="6" t="s">
        <v>69</v>
      </c>
      <c r="B54" s="30">
        <f>'Index Ideal'!C41</f>
        <v>510887.76353131636</v>
      </c>
    </row>
    <row r="55" spans="1:7" ht="15" customHeight="1" x14ac:dyDescent="0.35">
      <c r="A55" s="6" t="s">
        <v>70</v>
      </c>
      <c r="B55" s="12">
        <f>'Index Ideal'!C42</f>
        <v>24.813807644978539</v>
      </c>
    </row>
    <row r="56" spans="1:7" ht="15" customHeight="1" x14ac:dyDescent="0.35">
      <c r="A56" s="6" t="s">
        <v>71</v>
      </c>
      <c r="B56" s="16" t="str">
        <f>'Index Ideal'!C44</f>
        <v>Januari 2024</v>
      </c>
    </row>
    <row r="57" spans="1:7" ht="15" customHeight="1" x14ac:dyDescent="0.35">
      <c r="A57" s="6" t="s">
        <v>72</v>
      </c>
      <c r="B57" s="16" t="str">
        <f>'Index Ideal'!C45</f>
        <v>November 2025</v>
      </c>
    </row>
    <row r="58" spans="1:7" ht="15" customHeight="1" x14ac:dyDescent="0.35">
      <c r="A58" s="6" t="s">
        <v>73</v>
      </c>
      <c r="B58" s="30">
        <f>COUNTIF('Index Ideal'!O3:O32,"Over*")</f>
        <v>17</v>
      </c>
    </row>
    <row r="59" spans="1:7" ht="15" customHeight="1" x14ac:dyDescent="0.35">
      <c r="A59" s="6" t="s">
        <v>74</v>
      </c>
      <c r="B59" s="30">
        <f>COUNTIF('Index Ideal'!O3:O32,"Under*")</f>
        <v>13</v>
      </c>
    </row>
    <row r="60" spans="1:7" ht="15" customHeight="1" x14ac:dyDescent="0.35"/>
    <row r="61" spans="1:7" ht="15" customHeight="1" x14ac:dyDescent="0.35">
      <c r="A61" s="4" t="s">
        <v>75</v>
      </c>
    </row>
    <row r="62" spans="1:7" ht="15" customHeight="1" x14ac:dyDescent="0.35">
      <c r="A62" s="114" t="s">
        <v>76</v>
      </c>
      <c r="B62" s="114"/>
      <c r="C62" s="114"/>
      <c r="D62" s="114"/>
      <c r="E62" s="114"/>
      <c r="F62" s="114"/>
      <c r="G62" s="114"/>
    </row>
    <row r="63" spans="1:7" ht="15" customHeight="1" x14ac:dyDescent="0.35">
      <c r="A63" s="114" t="s">
        <v>77</v>
      </c>
      <c r="B63" s="114"/>
      <c r="C63" s="114"/>
      <c r="D63" s="114"/>
      <c r="E63" s="114"/>
      <c r="F63" s="114"/>
      <c r="G63" s="114"/>
    </row>
    <row r="64" spans="1:7" ht="15" customHeight="1" x14ac:dyDescent="0.35">
      <c r="A64" s="114" t="s">
        <v>78</v>
      </c>
      <c r="B64" s="114"/>
      <c r="C64" s="114"/>
      <c r="D64" s="114"/>
      <c r="E64" s="114"/>
      <c r="F64" s="114"/>
      <c r="G64" s="114"/>
    </row>
    <row r="65" spans="1:7" ht="15" customHeight="1" x14ac:dyDescent="0.35">
      <c r="A65" s="114" t="s">
        <v>79</v>
      </c>
      <c r="B65" s="114"/>
      <c r="C65" s="114"/>
      <c r="D65" s="114"/>
      <c r="E65" s="114"/>
      <c r="F65" s="114"/>
      <c r="G65" s="114"/>
    </row>
    <row r="66" spans="1:7" ht="15" customHeight="1" x14ac:dyDescent="0.35">
      <c r="A66" s="114" t="s">
        <v>80</v>
      </c>
      <c r="B66" s="114"/>
      <c r="C66" s="114"/>
      <c r="D66" s="114"/>
      <c r="E66" s="114"/>
      <c r="F66" s="114"/>
      <c r="G66" s="114"/>
    </row>
    <row r="67" spans="1:7" ht="15" customHeight="1" x14ac:dyDescent="0.35">
      <c r="A67" s="114" t="s">
        <v>81</v>
      </c>
      <c r="B67" s="114"/>
      <c r="C67" s="114"/>
      <c r="D67" s="114"/>
      <c r="E67" s="114"/>
      <c r="F67" s="114"/>
      <c r="G67" s="114"/>
    </row>
    <row r="68" spans="1:7" ht="15" customHeight="1" x14ac:dyDescent="0.35">
      <c r="A68" s="114" t="s">
        <v>82</v>
      </c>
      <c r="B68" s="114"/>
      <c r="C68" s="114"/>
      <c r="D68" s="114"/>
      <c r="E68" s="114"/>
      <c r="F68" s="114"/>
      <c r="G68" s="114"/>
    </row>
    <row r="70" spans="1:7" ht="15" customHeight="1" x14ac:dyDescent="0.35">
      <c r="A70" s="4" t="s">
        <v>83</v>
      </c>
    </row>
    <row r="71" spans="1:7" ht="15" customHeight="1" x14ac:dyDescent="0.35">
      <c r="A71" s="9" t="s">
        <v>84</v>
      </c>
      <c r="B71" s="9" t="s">
        <v>85</v>
      </c>
      <c r="C71" s="9" t="s">
        <v>86</v>
      </c>
      <c r="D71" s="9" t="s">
        <v>87</v>
      </c>
      <c r="E71" s="9" t="s">
        <v>88</v>
      </c>
    </row>
    <row r="72" spans="1:7" ht="15" customHeight="1" x14ac:dyDescent="0.35">
      <c r="A72" s="7" t="str">
        <f>'Uji Asumsi Klasik'!A78</f>
        <v>Normalitas residual</v>
      </c>
      <c r="B72" s="13" t="str">
        <f>'Uji Asumsi Klasik'!B78</f>
        <v>Jarque-Bera</v>
      </c>
      <c r="C72" s="31">
        <f>'Uji Asumsi Klasik'!C78</f>
        <v>2.0535993739490768</v>
      </c>
      <c r="D72" s="11">
        <f>'Uji Asumsi Klasik'!D78</f>
        <v>0.35815132478036776</v>
      </c>
      <c r="E72" s="13" t="str">
        <f>'Uji Asumsi Klasik'!E78</f>
        <v>TERPENUHI</v>
      </c>
    </row>
    <row r="73" spans="1:7" ht="15" customHeight="1" x14ac:dyDescent="0.35">
      <c r="A73" s="7" t="str">
        <f>'Uji Asumsi Klasik'!A79</f>
        <v>Non-autokorelasi</v>
      </c>
      <c r="B73" s="13" t="str">
        <f>'Uji Asumsi Klasik'!B79</f>
        <v>Durbin-Watson</v>
      </c>
      <c r="C73" s="31">
        <f>'Uji Asumsi Klasik'!C79</f>
        <v>1.9161726361938778</v>
      </c>
      <c r="D73" s="13" t="str">
        <f>'Uji Asumsi Klasik'!D79</f>
        <v>dU 0.002 – 4-dU 0.002</v>
      </c>
      <c r="E73" s="13" t="str">
        <f>'Uji Asumsi Klasik'!E79</f>
        <v>TERPENUHI</v>
      </c>
    </row>
    <row r="74" spans="1:7" ht="15" customHeight="1" x14ac:dyDescent="0.35">
      <c r="A74" s="7" t="str">
        <f>'Uji Asumsi Klasik'!A80</f>
        <v>Homoskedastisitas</v>
      </c>
      <c r="B74" s="13" t="str">
        <f>'Uji Asumsi Klasik'!B80</f>
        <v>Glejser</v>
      </c>
      <c r="C74" s="31">
        <f>'Uji Asumsi Klasik'!C80</f>
        <v>0.10163703187406553</v>
      </c>
      <c r="D74" s="11" t="str">
        <f>'Uji Asumsi Klasik'!D80</f>
        <v>0,05 (P-Value terkecil)</v>
      </c>
      <c r="E74" s="13" t="str">
        <f>'Uji Asumsi Klasik'!E80</f>
        <v>TERPENUHI</v>
      </c>
    </row>
    <row r="75" spans="1:7" ht="15" customHeight="1" x14ac:dyDescent="0.35">
      <c r="A75" s="7" t="str">
        <f>'Uji Asumsi Klasik'!A81</f>
        <v>Non-multikolinearitas</v>
      </c>
      <c r="B75" s="13" t="str">
        <f>'Uji Asumsi Klasik'!B81</f>
        <v>VIF</v>
      </c>
      <c r="C75" s="31">
        <f>'Uji Asumsi Klasik'!C81</f>
        <v>1.144214360120706</v>
      </c>
      <c r="D75" s="13" t="str">
        <f>'Uji Asumsi Klasik'!D81</f>
        <v>VIF &lt; 10</v>
      </c>
      <c r="E75" s="13" t="str">
        <f>'Uji Asumsi Klasik'!E81</f>
        <v>TERPENUHI</v>
      </c>
    </row>
    <row r="76" spans="1:7" ht="15" customHeight="1" x14ac:dyDescent="0.35">
      <c r="A76" s="7" t="str">
        <f>'Uji Asumsi Klasik'!A82</f>
        <v>Linearitas</v>
      </c>
      <c r="B76" s="13" t="str">
        <f>'Uji Asumsi Klasik'!B82</f>
        <v>Uji F model</v>
      </c>
      <c r="C76" s="31">
        <f>'Uji Asumsi Klasik'!C82</f>
        <v>8.6890147757780447</v>
      </c>
      <c r="D76" s="11">
        <f>'Uji Asumsi Klasik'!D82</f>
        <v>3.6769476625170006E-4</v>
      </c>
      <c r="E76" s="13" t="str">
        <f>'Uji Asumsi Klasik'!E82</f>
        <v>TERPENUHI</v>
      </c>
    </row>
    <row r="78" spans="1:7" ht="30" customHeight="1" x14ac:dyDescent="0.35">
      <c r="A78" s="115" t="str">
        <f>'Uji Asumsi Klasik'!A84</f>
        <v>KESIMPULAN: seluruh asumsi klasik terpenuhi → estimasi regresi bersifat BLUE dan P-Value hasil uji t maupun uji F valid untuk ditafsirkan.</v>
      </c>
      <c r="B78" s="115"/>
      <c r="C78" s="115"/>
      <c r="D78" s="115"/>
      <c r="E78" s="115"/>
      <c r="F78" s="115"/>
      <c r="G78" s="115"/>
    </row>
  </sheetData>
  <mergeCells count="8">
    <mergeCell ref="A67:G67"/>
    <mergeCell ref="A68:G68"/>
    <mergeCell ref="A78:G78"/>
    <mergeCell ref="A62:G62"/>
    <mergeCell ref="A63:G63"/>
    <mergeCell ref="A64:G64"/>
    <mergeCell ref="A65:G65"/>
    <mergeCell ref="A66:G6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zoomScaleNormal="100" workbookViewId="0">
      <pane ySplit="2" topLeftCell="A19" activePane="bottomLeft" state="frozen"/>
      <selection pane="bottomLeft" activeCell="I24" sqref="I24"/>
    </sheetView>
  </sheetViews>
  <sheetFormatPr defaultColWidth="8.6328125" defaultRowHeight="14.5" x14ac:dyDescent="0.35"/>
  <cols>
    <col min="1" max="1" width="8" style="1" customWidth="1"/>
    <col min="2" max="2" width="12" style="1" customWidth="1"/>
    <col min="3" max="3" width="5" style="1" customWidth="1"/>
    <col min="4" max="7" width="18" style="1" customWidth="1"/>
    <col min="8" max="8" width="8.6328125" style="1"/>
    <col min="9" max="9" width="24.26953125" style="1" customWidth="1"/>
    <col min="10" max="11" width="12" style="1" customWidth="1"/>
    <col min="12" max="12" width="15.26953125" style="1" customWidth="1"/>
    <col min="13" max="13" width="27.81640625" style="1" customWidth="1"/>
    <col min="14" max="15" width="12" style="1" customWidth="1"/>
    <col min="16" max="16384" width="8.6328125" style="1"/>
  </cols>
  <sheetData>
    <row r="1" spans="1:15" ht="17.25" customHeight="1" x14ac:dyDescent="0.35">
      <c r="A1" s="32" t="s">
        <v>89</v>
      </c>
    </row>
    <row r="2" spans="1:15" ht="25.5" customHeight="1" x14ac:dyDescent="0.35">
      <c r="A2" s="9" t="s">
        <v>90</v>
      </c>
      <c r="B2" s="9" t="s">
        <v>91</v>
      </c>
      <c r="C2" s="9" t="s">
        <v>92</v>
      </c>
      <c r="D2" s="9" t="s">
        <v>93</v>
      </c>
      <c r="E2" s="9" t="s">
        <v>94</v>
      </c>
      <c r="F2" s="9" t="s">
        <v>95</v>
      </c>
      <c r="G2" s="9" t="s">
        <v>96</v>
      </c>
      <c r="I2" s="4" t="s">
        <v>97</v>
      </c>
    </row>
    <row r="3" spans="1:15" ht="15" customHeight="1" x14ac:dyDescent="0.35">
      <c r="A3" s="33">
        <v>2024</v>
      </c>
      <c r="B3" s="33" t="s">
        <v>98</v>
      </c>
      <c r="C3" s="34">
        <v>1</v>
      </c>
      <c r="D3" s="139">
        <v>20</v>
      </c>
      <c r="E3" s="139">
        <v>3107</v>
      </c>
      <c r="F3" s="139">
        <v>845</v>
      </c>
      <c r="G3" s="139">
        <v>81305</v>
      </c>
      <c r="I3" s="9" t="s">
        <v>31</v>
      </c>
      <c r="J3" s="9" t="s">
        <v>99</v>
      </c>
      <c r="K3" s="9" t="s">
        <v>100</v>
      </c>
      <c r="L3" s="9" t="s">
        <v>101</v>
      </c>
      <c r="M3" s="9" t="s">
        <v>102</v>
      </c>
      <c r="N3" s="9" t="s">
        <v>103</v>
      </c>
      <c r="O3" s="9" t="s">
        <v>104</v>
      </c>
    </row>
    <row r="4" spans="1:15" ht="15" customHeight="1" x14ac:dyDescent="0.35">
      <c r="A4" s="33">
        <v>2024</v>
      </c>
      <c r="B4" s="33" t="s">
        <v>105</v>
      </c>
      <c r="C4" s="34">
        <v>2</v>
      </c>
      <c r="D4" s="139">
        <v>22</v>
      </c>
      <c r="E4" s="139">
        <v>2694</v>
      </c>
      <c r="F4" s="139">
        <v>814</v>
      </c>
      <c r="G4" s="139">
        <v>67057</v>
      </c>
      <c r="I4" s="7" t="s">
        <v>93</v>
      </c>
      <c r="J4" s="35">
        <f>COUNT(D3:D32)</f>
        <v>30</v>
      </c>
      <c r="K4" s="35">
        <f>AVERAGE(D3:D32)</f>
        <v>20.066666666666666</v>
      </c>
      <c r="L4" s="35">
        <f>STDEV(D3:D32)</f>
        <v>1.7603552410558057</v>
      </c>
      <c r="M4" s="35">
        <f>MIN(D3:D32)</f>
        <v>16</v>
      </c>
      <c r="N4" s="35">
        <f>MAX(D3:D32)</f>
        <v>23</v>
      </c>
      <c r="O4" s="35">
        <f>L4/K4*100</f>
        <v>8.7725344238661407</v>
      </c>
    </row>
    <row r="5" spans="1:15" ht="15" customHeight="1" x14ac:dyDescent="0.35">
      <c r="A5" s="33">
        <v>2024</v>
      </c>
      <c r="B5" s="33" t="s">
        <v>106</v>
      </c>
      <c r="C5" s="34">
        <v>3</v>
      </c>
      <c r="D5" s="139">
        <v>19</v>
      </c>
      <c r="E5" s="139">
        <v>2211</v>
      </c>
      <c r="F5" s="139">
        <v>798</v>
      </c>
      <c r="G5" s="139">
        <v>39619</v>
      </c>
      <c r="I5" s="7" t="s">
        <v>94</v>
      </c>
      <c r="J5" s="35">
        <f>COUNT(E3:E32)</f>
        <v>30</v>
      </c>
      <c r="K5" s="35">
        <f>AVERAGE(E3:E32)</f>
        <v>2770.5666666666666</v>
      </c>
      <c r="L5" s="35">
        <f>STDEV(E3:E32)</f>
        <v>429.62025600268942</v>
      </c>
      <c r="M5" s="35">
        <f>MIN(E3:E32)</f>
        <v>1998</v>
      </c>
      <c r="N5" s="35">
        <f>MAX(E3:E32)</f>
        <v>3698</v>
      </c>
      <c r="O5" s="35">
        <f>L5/K5*100</f>
        <v>15.506584308962887</v>
      </c>
    </row>
    <row r="6" spans="1:15" ht="15" customHeight="1" x14ac:dyDescent="0.35">
      <c r="A6" s="33">
        <v>2024</v>
      </c>
      <c r="B6" s="33" t="s">
        <v>107</v>
      </c>
      <c r="C6" s="34">
        <v>4</v>
      </c>
      <c r="D6" s="139">
        <v>19</v>
      </c>
      <c r="E6" s="139">
        <v>2352</v>
      </c>
      <c r="F6" s="139">
        <v>789</v>
      </c>
      <c r="G6" s="139">
        <v>42895</v>
      </c>
      <c r="I6" s="7" t="s">
        <v>95</v>
      </c>
      <c r="J6" s="35">
        <f>COUNT(F3:F32)</f>
        <v>30</v>
      </c>
      <c r="K6" s="35">
        <f>AVERAGE(F3:F32)</f>
        <v>740.56666666666672</v>
      </c>
      <c r="L6" s="35">
        <f>STDEV(F3:F32)</f>
        <v>43.703296911326269</v>
      </c>
      <c r="M6" s="35">
        <f>MIN(F3:F32)</f>
        <v>690</v>
      </c>
      <c r="N6" s="35">
        <f>MAX(F3:F32)</f>
        <v>845</v>
      </c>
      <c r="O6" s="35">
        <f>L6/K6*100</f>
        <v>5.9013318960246117</v>
      </c>
    </row>
    <row r="7" spans="1:15" ht="15" customHeight="1" x14ac:dyDescent="0.35">
      <c r="A7" s="33">
        <v>2024</v>
      </c>
      <c r="B7" s="33" t="s">
        <v>108</v>
      </c>
      <c r="C7" s="34">
        <v>5</v>
      </c>
      <c r="D7" s="139">
        <v>16</v>
      </c>
      <c r="E7" s="139">
        <v>2008</v>
      </c>
      <c r="F7" s="139">
        <v>756</v>
      </c>
      <c r="G7" s="139">
        <v>36966</v>
      </c>
      <c r="I7" s="7" t="s">
        <v>96</v>
      </c>
      <c r="J7" s="35">
        <f>COUNT(G3:G32)</f>
        <v>30</v>
      </c>
      <c r="K7" s="35">
        <f>AVERAGE(G3:G32)</f>
        <v>67315.8</v>
      </c>
      <c r="L7" s="35">
        <f>STDEV(G3:G32)</f>
        <v>19967.246494679992</v>
      </c>
      <c r="M7" s="35">
        <f>MIN(G3:G32)</f>
        <v>29413</v>
      </c>
      <c r="N7" s="35">
        <f>MAX(G3:G32)</f>
        <v>100190</v>
      </c>
      <c r="O7" s="35">
        <f>L7/K7*100</f>
        <v>29.662050357687185</v>
      </c>
    </row>
    <row r="8" spans="1:15" ht="15" customHeight="1" x14ac:dyDescent="0.35">
      <c r="A8" s="33">
        <v>2024</v>
      </c>
      <c r="B8" s="33" t="s">
        <v>109</v>
      </c>
      <c r="C8" s="34">
        <v>6</v>
      </c>
      <c r="D8" s="139">
        <v>20</v>
      </c>
      <c r="E8" s="139">
        <v>2659</v>
      </c>
      <c r="F8" s="139">
        <v>790</v>
      </c>
      <c r="G8" s="139">
        <v>59948</v>
      </c>
    </row>
    <row r="9" spans="1:15" ht="15" customHeight="1" x14ac:dyDescent="0.35">
      <c r="A9" s="33">
        <v>2024</v>
      </c>
      <c r="B9" s="33" t="s">
        <v>110</v>
      </c>
      <c r="C9" s="34">
        <v>7</v>
      </c>
      <c r="D9" s="139">
        <v>19</v>
      </c>
      <c r="E9" s="139">
        <v>2839</v>
      </c>
      <c r="F9" s="139">
        <v>790</v>
      </c>
      <c r="G9" s="139">
        <v>82171</v>
      </c>
    </row>
    <row r="10" spans="1:15" ht="15" customHeight="1" x14ac:dyDescent="0.35">
      <c r="A10" s="33">
        <v>2024</v>
      </c>
      <c r="B10" s="33" t="s">
        <v>111</v>
      </c>
      <c r="C10" s="34">
        <v>8</v>
      </c>
      <c r="D10" s="139">
        <v>22</v>
      </c>
      <c r="E10" s="139">
        <v>3374</v>
      </c>
      <c r="F10" s="139">
        <v>690</v>
      </c>
      <c r="G10" s="139">
        <v>90534</v>
      </c>
    </row>
    <row r="11" spans="1:15" ht="28.5" customHeight="1" x14ac:dyDescent="0.35">
      <c r="A11" s="33">
        <v>2024</v>
      </c>
      <c r="B11" s="33" t="s">
        <v>112</v>
      </c>
      <c r="C11" s="34">
        <v>9</v>
      </c>
      <c r="D11" s="139">
        <v>22</v>
      </c>
      <c r="E11" s="139">
        <v>3208</v>
      </c>
      <c r="F11" s="139">
        <v>690</v>
      </c>
      <c r="G11" s="139">
        <v>100190</v>
      </c>
      <c r="I11" s="36" t="s">
        <v>31</v>
      </c>
      <c r="J11" s="36" t="s">
        <v>100</v>
      </c>
      <c r="K11" s="36" t="s">
        <v>113</v>
      </c>
      <c r="L11" s="36" t="s">
        <v>114</v>
      </c>
      <c r="M11" s="36" t="s">
        <v>37</v>
      </c>
    </row>
    <row r="12" spans="1:15" ht="30" customHeight="1" x14ac:dyDescent="0.35">
      <c r="A12" s="33">
        <v>2024</v>
      </c>
      <c r="B12" s="33" t="s">
        <v>115</v>
      </c>
      <c r="C12" s="34">
        <v>10</v>
      </c>
      <c r="D12" s="139">
        <v>20</v>
      </c>
      <c r="E12" s="139">
        <v>3023</v>
      </c>
      <c r="F12" s="139">
        <v>697</v>
      </c>
      <c r="G12" s="139">
        <v>91437</v>
      </c>
      <c r="I12" s="37" t="s">
        <v>93</v>
      </c>
      <c r="J12" s="38">
        <v>20</v>
      </c>
      <c r="K12" s="39">
        <v>1.8003831009940201</v>
      </c>
      <c r="L12" s="40">
        <v>0.09</v>
      </c>
      <c r="M12" s="41" t="s">
        <v>116</v>
      </c>
    </row>
    <row r="13" spans="1:15" ht="30" customHeight="1" x14ac:dyDescent="0.35">
      <c r="A13" s="33">
        <v>2024</v>
      </c>
      <c r="B13" s="33" t="s">
        <v>117</v>
      </c>
      <c r="C13" s="34">
        <v>11</v>
      </c>
      <c r="D13" s="139">
        <v>23</v>
      </c>
      <c r="E13" s="139">
        <v>3237</v>
      </c>
      <c r="F13" s="139">
        <v>700</v>
      </c>
      <c r="G13" s="139">
        <v>76332</v>
      </c>
      <c r="I13" s="37" t="s">
        <v>94</v>
      </c>
      <c r="J13" s="38">
        <v>2725.36666666667</v>
      </c>
      <c r="K13" s="39">
        <v>390.95986947541002</v>
      </c>
      <c r="L13" s="40">
        <v>0.1535</v>
      </c>
      <c r="M13" s="41" t="s">
        <v>118</v>
      </c>
    </row>
    <row r="14" spans="1:15" ht="30" customHeight="1" x14ac:dyDescent="0.35">
      <c r="A14" s="33">
        <v>2024</v>
      </c>
      <c r="B14" s="33" t="s">
        <v>119</v>
      </c>
      <c r="C14" s="34">
        <v>12</v>
      </c>
      <c r="D14" s="139">
        <v>22</v>
      </c>
      <c r="E14" s="139">
        <v>3014</v>
      </c>
      <c r="F14" s="139">
        <v>699</v>
      </c>
      <c r="G14" s="139">
        <v>62074</v>
      </c>
      <c r="I14" s="37" t="s">
        <v>95</v>
      </c>
      <c r="J14" s="38">
        <v>740.56666666666695</v>
      </c>
      <c r="K14" s="39">
        <v>43.703296911326298</v>
      </c>
      <c r="L14" s="40">
        <v>5.8999999999999997E-2</v>
      </c>
      <c r="M14" s="41" t="s">
        <v>116</v>
      </c>
    </row>
    <row r="15" spans="1:15" ht="30" customHeight="1" x14ac:dyDescent="0.35">
      <c r="A15" s="33">
        <v>2025</v>
      </c>
      <c r="B15" s="33" t="s">
        <v>98</v>
      </c>
      <c r="C15" s="34">
        <v>13</v>
      </c>
      <c r="D15" s="139">
        <v>18</v>
      </c>
      <c r="E15" s="139">
        <v>2617</v>
      </c>
      <c r="F15" s="139">
        <v>694</v>
      </c>
      <c r="G15" s="139">
        <v>89619</v>
      </c>
      <c r="I15" s="37" t="s">
        <v>96</v>
      </c>
      <c r="J15" s="38">
        <v>67315.8</v>
      </c>
      <c r="K15" s="39">
        <v>19967.246494679999</v>
      </c>
      <c r="L15" s="40">
        <v>0.30659999999999998</v>
      </c>
      <c r="M15" s="41" t="s">
        <v>120</v>
      </c>
    </row>
    <row r="16" spans="1:15" ht="15" customHeight="1" x14ac:dyDescent="0.35">
      <c r="A16" s="33">
        <v>2025</v>
      </c>
      <c r="B16" s="33" t="s">
        <v>105</v>
      </c>
      <c r="C16" s="34">
        <v>14</v>
      </c>
      <c r="D16" s="139">
        <v>20</v>
      </c>
      <c r="E16" s="139">
        <v>2443</v>
      </c>
      <c r="F16" s="139">
        <v>706</v>
      </c>
      <c r="G16" s="139">
        <v>75216</v>
      </c>
    </row>
    <row r="17" spans="1:7" ht="15" customHeight="1" x14ac:dyDescent="0.35">
      <c r="A17" s="33">
        <v>2025</v>
      </c>
      <c r="B17" s="33" t="s">
        <v>106</v>
      </c>
      <c r="C17" s="34">
        <v>15</v>
      </c>
      <c r="D17" s="139">
        <v>20</v>
      </c>
      <c r="E17" s="139">
        <v>3004</v>
      </c>
      <c r="F17" s="139">
        <v>706</v>
      </c>
      <c r="G17" s="139">
        <v>78847</v>
      </c>
    </row>
    <row r="18" spans="1:7" ht="15" customHeight="1" x14ac:dyDescent="0.35">
      <c r="A18" s="33">
        <v>2025</v>
      </c>
      <c r="B18" s="33" t="s">
        <v>107</v>
      </c>
      <c r="C18" s="34">
        <v>16</v>
      </c>
      <c r="D18" s="139">
        <v>19</v>
      </c>
      <c r="E18" s="139">
        <v>2934</v>
      </c>
      <c r="F18" s="139">
        <v>707</v>
      </c>
      <c r="G18" s="139">
        <v>92254</v>
      </c>
    </row>
    <row r="19" spans="1:7" ht="15" customHeight="1" x14ac:dyDescent="0.35">
      <c r="A19" s="33">
        <v>2025</v>
      </c>
      <c r="B19" s="33" t="s">
        <v>108</v>
      </c>
      <c r="C19" s="34">
        <v>17</v>
      </c>
      <c r="D19" s="139">
        <v>17</v>
      </c>
      <c r="E19" s="139">
        <v>2717</v>
      </c>
      <c r="F19" s="139">
        <v>707</v>
      </c>
      <c r="G19" s="139">
        <v>68708</v>
      </c>
    </row>
    <row r="20" spans="1:7" ht="15" customHeight="1" x14ac:dyDescent="0.35">
      <c r="A20" s="33">
        <v>2025</v>
      </c>
      <c r="B20" s="33" t="s">
        <v>109</v>
      </c>
      <c r="C20" s="34">
        <v>18</v>
      </c>
      <c r="D20" s="139">
        <v>19</v>
      </c>
      <c r="E20" s="139">
        <v>2960</v>
      </c>
      <c r="F20" s="139">
        <v>708</v>
      </c>
      <c r="G20" s="139">
        <v>91078</v>
      </c>
    </row>
    <row r="21" spans="1:7" ht="15" customHeight="1" x14ac:dyDescent="0.35">
      <c r="A21" s="33">
        <v>2025</v>
      </c>
      <c r="B21" s="33" t="s">
        <v>110</v>
      </c>
      <c r="C21" s="34">
        <v>19</v>
      </c>
      <c r="D21" s="139">
        <v>19</v>
      </c>
      <c r="E21" s="139">
        <v>2832</v>
      </c>
      <c r="F21" s="139">
        <v>794</v>
      </c>
      <c r="G21" s="139">
        <v>73434</v>
      </c>
    </row>
    <row r="22" spans="1:7" ht="15" customHeight="1" x14ac:dyDescent="0.35">
      <c r="A22" s="33">
        <v>2025</v>
      </c>
      <c r="B22" s="33" t="s">
        <v>111</v>
      </c>
      <c r="C22" s="34">
        <v>20</v>
      </c>
      <c r="D22" s="139">
        <v>23</v>
      </c>
      <c r="E22" s="139">
        <v>3402</v>
      </c>
      <c r="F22" s="139">
        <v>787</v>
      </c>
      <c r="G22" s="139">
        <v>60522</v>
      </c>
    </row>
    <row r="23" spans="1:7" ht="15" customHeight="1" x14ac:dyDescent="0.35">
      <c r="A23" s="33">
        <v>2025</v>
      </c>
      <c r="B23" s="33" t="s">
        <v>112</v>
      </c>
      <c r="C23" s="34">
        <v>21</v>
      </c>
      <c r="D23" s="139">
        <v>21</v>
      </c>
      <c r="E23" s="139">
        <v>2747</v>
      </c>
      <c r="F23" s="139">
        <v>775</v>
      </c>
      <c r="G23" s="139">
        <v>44904</v>
      </c>
    </row>
    <row r="24" spans="1:7" ht="15" customHeight="1" x14ac:dyDescent="0.35">
      <c r="A24" s="33">
        <v>2025</v>
      </c>
      <c r="B24" s="33" t="s">
        <v>115</v>
      </c>
      <c r="C24" s="34">
        <v>22</v>
      </c>
      <c r="D24" s="139">
        <v>21</v>
      </c>
      <c r="E24" s="139">
        <v>2456</v>
      </c>
      <c r="F24" s="139">
        <v>775</v>
      </c>
      <c r="G24" s="139">
        <v>45540</v>
      </c>
    </row>
    <row r="25" spans="1:7" ht="15" customHeight="1" x14ac:dyDescent="0.35">
      <c r="A25" s="33">
        <v>2025</v>
      </c>
      <c r="B25" s="33" t="s">
        <v>117</v>
      </c>
      <c r="C25" s="34">
        <v>23</v>
      </c>
      <c r="D25" s="139">
        <v>22</v>
      </c>
      <c r="E25" s="139">
        <v>2463</v>
      </c>
      <c r="F25" s="139">
        <v>733</v>
      </c>
      <c r="G25" s="139">
        <v>38491</v>
      </c>
    </row>
    <row r="26" spans="1:7" ht="15" customHeight="1" x14ac:dyDescent="0.35">
      <c r="A26" s="33">
        <v>2025</v>
      </c>
      <c r="B26" s="33" t="s">
        <v>119</v>
      </c>
      <c r="C26" s="34">
        <v>24</v>
      </c>
      <c r="D26" s="139">
        <v>22</v>
      </c>
      <c r="E26" s="139">
        <v>1998</v>
      </c>
      <c r="F26" s="139">
        <v>729</v>
      </c>
      <c r="G26" s="139">
        <v>29413</v>
      </c>
    </row>
    <row r="27" spans="1:7" ht="15" customHeight="1" x14ac:dyDescent="0.35">
      <c r="A27" s="33">
        <v>2026</v>
      </c>
      <c r="B27" s="33" t="s">
        <v>98</v>
      </c>
      <c r="C27" s="34">
        <v>25</v>
      </c>
      <c r="D27" s="139">
        <v>20</v>
      </c>
      <c r="E27" s="139">
        <v>2485</v>
      </c>
      <c r="F27" s="139">
        <v>730</v>
      </c>
      <c r="G27" s="139">
        <v>62983</v>
      </c>
    </row>
    <row r="28" spans="1:7" ht="15" customHeight="1" x14ac:dyDescent="0.35">
      <c r="A28" s="33">
        <v>2026</v>
      </c>
      <c r="B28" s="33" t="s">
        <v>105</v>
      </c>
      <c r="C28" s="34">
        <v>26</v>
      </c>
      <c r="D28" s="139">
        <v>20</v>
      </c>
      <c r="E28" s="139">
        <v>2290</v>
      </c>
      <c r="F28" s="139">
        <v>730</v>
      </c>
      <c r="G28" s="139">
        <v>54317</v>
      </c>
    </row>
    <row r="29" spans="1:7" ht="15" customHeight="1" x14ac:dyDescent="0.35">
      <c r="A29" s="33">
        <v>2026</v>
      </c>
      <c r="B29" s="33" t="s">
        <v>106</v>
      </c>
      <c r="C29" s="34">
        <v>27</v>
      </c>
      <c r="D29" s="139">
        <v>19</v>
      </c>
      <c r="E29" s="139">
        <v>2173</v>
      </c>
      <c r="F29" s="139">
        <v>730</v>
      </c>
      <c r="G29" s="139">
        <v>62758</v>
      </c>
    </row>
    <row r="30" spans="1:7" ht="15" customHeight="1" x14ac:dyDescent="0.35">
      <c r="A30" s="33">
        <v>2026</v>
      </c>
      <c r="B30" s="33" t="s">
        <v>107</v>
      </c>
      <c r="C30" s="34">
        <v>28</v>
      </c>
      <c r="D30" s="139">
        <v>17</v>
      </c>
      <c r="E30" s="139">
        <v>3283</v>
      </c>
      <c r="F30" s="139">
        <v>730</v>
      </c>
      <c r="G30" s="139">
        <v>48410</v>
      </c>
    </row>
    <row r="31" spans="1:7" ht="15" customHeight="1" x14ac:dyDescent="0.35">
      <c r="A31" s="33">
        <v>2026</v>
      </c>
      <c r="B31" s="33" t="s">
        <v>108</v>
      </c>
      <c r="C31" s="34">
        <v>29</v>
      </c>
      <c r="D31" s="139">
        <v>21</v>
      </c>
      <c r="E31" s="139">
        <v>2889</v>
      </c>
      <c r="F31" s="139">
        <v>704</v>
      </c>
      <c r="G31" s="139">
        <v>88003</v>
      </c>
    </row>
    <row r="32" spans="1:7" ht="15" customHeight="1" x14ac:dyDescent="0.35">
      <c r="A32" s="33">
        <v>2026</v>
      </c>
      <c r="B32" s="33" t="s">
        <v>109</v>
      </c>
      <c r="C32" s="34">
        <v>30</v>
      </c>
      <c r="D32" s="139">
        <v>20</v>
      </c>
      <c r="E32" s="139">
        <v>3698</v>
      </c>
      <c r="F32" s="139">
        <v>714</v>
      </c>
      <c r="G32" s="139">
        <v>84449</v>
      </c>
    </row>
    <row r="34" spans="1:1" ht="15" customHeight="1" x14ac:dyDescent="0.35">
      <c r="A34" s="3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showGridLines="0" topLeftCell="A5" zoomScaleNormal="100" workbookViewId="0">
      <selection activeCell="C17" sqref="C17"/>
    </sheetView>
  </sheetViews>
  <sheetFormatPr defaultColWidth="8.6328125" defaultRowHeight="14.5" x14ac:dyDescent="0.35"/>
  <cols>
    <col min="1" max="1" width="30" style="1" customWidth="1"/>
    <col min="2" max="2" width="17" style="1" customWidth="1"/>
    <col min="3" max="3" width="21.1796875" style="1" customWidth="1"/>
    <col min="4" max="4" width="20.7265625" style="1" customWidth="1"/>
    <col min="5" max="5" width="17" style="1" customWidth="1"/>
    <col min="6" max="6" width="10.81640625" style="1" customWidth="1"/>
    <col min="7" max="7" width="24.90625" style="1" customWidth="1"/>
    <col min="8" max="8" width="23.36328125" style="1" customWidth="1"/>
    <col min="9" max="16384" width="8.6328125" style="1"/>
  </cols>
  <sheetData>
    <row r="1" spans="1:8" ht="17.25" customHeight="1" x14ac:dyDescent="0.35">
      <c r="A1" s="32" t="s">
        <v>286</v>
      </c>
    </row>
    <row r="3" spans="1:8" ht="15" customHeight="1" x14ac:dyDescent="0.35">
      <c r="A3" s="24" t="s">
        <v>122</v>
      </c>
      <c r="C3" s="42">
        <f>COUNT(Data!G3:G32)</f>
        <v>30</v>
      </c>
    </row>
    <row r="4" spans="1:8" ht="15" customHeight="1" x14ac:dyDescent="0.35">
      <c r="A4" s="24" t="s">
        <v>123</v>
      </c>
      <c r="C4" s="43">
        <f>C3-2</f>
        <v>28</v>
      </c>
    </row>
    <row r="5" spans="1:8" ht="15" customHeight="1" x14ac:dyDescent="0.35">
      <c r="A5" s="24" t="s">
        <v>124</v>
      </c>
      <c r="C5" s="44">
        <v>0.05</v>
      </c>
    </row>
    <row r="7" spans="1:8" ht="15" customHeight="1" x14ac:dyDescent="0.35">
      <c r="A7" s="4" t="s">
        <v>125</v>
      </c>
    </row>
    <row r="8" spans="1:8" ht="23.25" customHeight="1" x14ac:dyDescent="0.35">
      <c r="A8" s="9" t="s">
        <v>126</v>
      </c>
      <c r="B8" s="9" t="s">
        <v>127</v>
      </c>
      <c r="C8" s="9" t="s">
        <v>39</v>
      </c>
      <c r="D8" s="9" t="s">
        <v>128</v>
      </c>
      <c r="E8" s="9" t="s">
        <v>129</v>
      </c>
    </row>
    <row r="9" spans="1:8" ht="15" customHeight="1" x14ac:dyDescent="0.35">
      <c r="A9" s="45" t="s">
        <v>127</v>
      </c>
      <c r="B9" s="46">
        <f>CORREL(Data!D$3:D$32,Data!D$3:D$32)</f>
        <v>1</v>
      </c>
      <c r="C9" s="47">
        <f>CORREL(Data!D$3:D$32,Data!E$3:E$32)</f>
        <v>0.2919385140011016</v>
      </c>
      <c r="D9" s="47">
        <f>CORREL(Data!D$3:D$32,Data!F$3:F$32)</f>
        <v>-4.2640294723156738E-2</v>
      </c>
      <c r="E9" s="47">
        <f>CORREL(Data!D$3:D$32,Data!G$3:G$32)</f>
        <v>6.5955224106176769E-2</v>
      </c>
    </row>
    <row r="10" spans="1:8" ht="15" customHeight="1" x14ac:dyDescent="0.35">
      <c r="A10" s="45" t="s">
        <v>39</v>
      </c>
      <c r="B10" s="47">
        <f>CORREL(Data!E$3:E$32,Data!D$3:D$32)</f>
        <v>0.2919385140011016</v>
      </c>
      <c r="C10" s="46">
        <f>CORREL(Data!E$3:E$32,Data!E$3:E$32)</f>
        <v>0.99999999999999989</v>
      </c>
      <c r="D10" s="47">
        <f>CORREL(Data!E$3:E$32,Data!F$3:F$32)</f>
        <v>-0.21427894355615382</v>
      </c>
      <c r="E10" s="47">
        <f>CORREL(Data!E$3:E$32,Data!G$3:G$32)</f>
        <v>0.63709450319400951</v>
      </c>
    </row>
    <row r="11" spans="1:8" ht="15" customHeight="1" x14ac:dyDescent="0.35">
      <c r="A11" s="45" t="s">
        <v>128</v>
      </c>
      <c r="B11" s="47">
        <f>CORREL(Data!F$3:F$32,Data!D$3:D$32)</f>
        <v>-4.2640294723156738E-2</v>
      </c>
      <c r="C11" s="47">
        <f>CORREL(Data!F$3:F$32,Data!E$3:E$32)</f>
        <v>-0.21427894355615382</v>
      </c>
      <c r="D11" s="46">
        <f>CORREL(Data!F$3:F$32,Data!F$3:F$32)</f>
        <v>1.0000000000000002</v>
      </c>
      <c r="E11" s="47">
        <f>CORREL(Data!F$3:F$32,Data!G$3:G$32)</f>
        <v>-0.41361305316048758</v>
      </c>
    </row>
    <row r="12" spans="1:8" ht="15" customHeight="1" x14ac:dyDescent="0.35">
      <c r="A12" s="45" t="s">
        <v>129</v>
      </c>
      <c r="B12" s="47">
        <f>CORREL(Data!G$3:G$32,Data!D$3:D$32)</f>
        <v>6.5955224106176769E-2</v>
      </c>
      <c r="C12" s="47">
        <f>CORREL(Data!G$3:G$32,Data!E$3:E$32)</f>
        <v>0.63709450319400951</v>
      </c>
      <c r="D12" s="47">
        <f>CORREL(Data!G$3:G$32,Data!F$3:F$32)</f>
        <v>-0.41361305316048758</v>
      </c>
      <c r="E12" s="46">
        <f>CORREL(Data!G$3:G$32,Data!G$3:G$32)</f>
        <v>0.99999999999999989</v>
      </c>
    </row>
    <row r="14" spans="1:8" ht="15" customHeight="1" x14ac:dyDescent="0.35">
      <c r="A14" s="4" t="s">
        <v>130</v>
      </c>
    </row>
    <row r="15" spans="1:8" ht="34.5" customHeight="1" x14ac:dyDescent="0.35">
      <c r="A15" s="9" t="s">
        <v>131</v>
      </c>
      <c r="B15" s="9" t="s">
        <v>132</v>
      </c>
      <c r="C15" s="9" t="s">
        <v>133</v>
      </c>
      <c r="D15" s="9" t="s">
        <v>134</v>
      </c>
      <c r="E15" s="9" t="s">
        <v>135</v>
      </c>
      <c r="F15" s="9" t="s">
        <v>35</v>
      </c>
      <c r="G15" s="9" t="s">
        <v>36</v>
      </c>
      <c r="H15" s="9" t="s">
        <v>136</v>
      </c>
    </row>
    <row r="16" spans="1:8" ht="15" customHeight="1" x14ac:dyDescent="0.35">
      <c r="A16" s="7" t="s">
        <v>137</v>
      </c>
      <c r="B16" s="47">
        <f>CORREL(Data!D3:D32,Data!G3:G32)</f>
        <v>6.5955224106176769E-2</v>
      </c>
      <c r="C16" s="47">
        <f>B16^2</f>
        <v>4.3500915868960009E-3</v>
      </c>
      <c r="D16" s="47">
        <f>B16*SQRT($C$4)/SQRT(1-B16^2)</f>
        <v>0.34976382277235279</v>
      </c>
      <c r="E16" s="47">
        <f>TINV($C$5,$C$4)</f>
        <v>2.0484071417952445</v>
      </c>
      <c r="F16" s="47">
        <f>TDIST(ABS(D16),$C$4,2)</f>
        <v>0.72913313782558298</v>
      </c>
      <c r="G16" s="48" t="str">
        <f>IF(F16&lt;$C$5,"Signifikan (Tolak H0)","Tidak Signifikan (Terima H0)")</f>
        <v>Tidak Signifikan (Terima H0)</v>
      </c>
      <c r="H16" s="48" t="str">
        <f>IF(ABS(B16)&gt;=0.8,"Sangat Kuat",IF(ABS(B16)&gt;=0.6,"Kuat",IF(ABS(B16)&gt;=0.4,"Sedang",IF(ABS(B16)&gt;=0.2,"Lemah","Sangat Lemah"))))&amp;IF(B16&gt;0," / Positif"," / Negatif")</f>
        <v>Sangat Lemah / Positif</v>
      </c>
    </row>
    <row r="17" spans="1:8" ht="15" customHeight="1" x14ac:dyDescent="0.35">
      <c r="A17" s="7" t="s">
        <v>138</v>
      </c>
      <c r="B17" s="47">
        <f>CORREL(Data!E3:E32,Data!G3:G32)</f>
        <v>0.63709450319400951</v>
      </c>
      <c r="C17" s="47">
        <f>B17^2</f>
        <v>0.40588940600002177</v>
      </c>
      <c r="D17" s="47">
        <f>B17*SQRT($C$4)/SQRT(1-B17^2)</f>
        <v>4.373702363644079</v>
      </c>
      <c r="E17" s="47">
        <f>TINV($C$5,$C$4)</f>
        <v>2.0484071417952445</v>
      </c>
      <c r="F17" s="47">
        <f>TDIST(ABS(D17),$C$4,2)</f>
        <v>1.5319004579919412E-4</v>
      </c>
      <c r="G17" s="48" t="str">
        <f>IF(F17&lt;$C$5,"Signifikan (Tolak H0)","Tidak Signifikan (Terima H0)")</f>
        <v>Signifikan (Tolak H0)</v>
      </c>
      <c r="H17" s="48" t="str">
        <f>IF(ABS(B17)&gt;=0.8,"Sangat Kuat",IF(ABS(B17)&gt;=0.6,"Kuat",IF(ABS(B17)&gt;=0.4,"Sedang",IF(ABS(B17)&gt;=0.2,"Lemah","Sangat Lemah"))))&amp;IF(B17&gt;0," / Positif"," / Negatif")</f>
        <v>Kuat / Positif</v>
      </c>
    </row>
    <row r="18" spans="1:8" ht="15" customHeight="1" x14ac:dyDescent="0.35">
      <c r="A18" s="7" t="s">
        <v>139</v>
      </c>
      <c r="B18" s="47">
        <f>CORREL(Data!F3:F32,Data!G3:G32)</f>
        <v>-0.41361305316048758</v>
      </c>
      <c r="C18" s="47">
        <f>B18^2</f>
        <v>0.17107575774474032</v>
      </c>
      <c r="D18" s="47">
        <f>B18*SQRT($C$4)/SQRT(1-B18^2)</f>
        <v>-2.4038968664109932</v>
      </c>
      <c r="E18" s="47">
        <f>TINV($C$5,$C$4)</f>
        <v>2.0484071417952445</v>
      </c>
      <c r="F18" s="47">
        <f>TDIST(ABS(D18),$C$4,2)</f>
        <v>2.3085682587757676E-2</v>
      </c>
      <c r="G18" s="48" t="str">
        <f>IF(F18&lt;$C$5,"Signifikan (Tolak H0)","Tidak Signifikan (Terima H0)")</f>
        <v>Signifikan (Tolak H0)</v>
      </c>
      <c r="H18" s="48" t="str">
        <f>IF(ABS(B18)&gt;=0.8,"Sangat Kuat",IF(ABS(B18)&gt;=0.6,"Kuat",IF(ABS(B18)&gt;=0.4,"Sedang",IF(ABS(B18)&gt;=0.2,"Lemah","Sangat Lemah"))))&amp;IF(B18&gt;0," / Positif"," / Negatif")</f>
        <v>Sedang / Negatif</v>
      </c>
    </row>
    <row r="19" spans="1:8" ht="5" customHeight="1" x14ac:dyDescent="0.35">
      <c r="B19" s="49"/>
      <c r="C19" s="49"/>
      <c r="D19" s="49"/>
      <c r="E19" s="49"/>
      <c r="F19" s="49"/>
      <c r="G19" s="49"/>
      <c r="H19" s="49"/>
    </row>
    <row r="20" spans="1:8" ht="15" customHeight="1" x14ac:dyDescent="0.35">
      <c r="A20" s="3" t="s">
        <v>140</v>
      </c>
      <c r="B20" s="49"/>
      <c r="C20" s="49"/>
      <c r="D20" s="49"/>
      <c r="E20" s="49"/>
      <c r="F20" s="49"/>
      <c r="G20" s="49"/>
      <c r="H20" s="49"/>
    </row>
    <row r="22" spans="1:8" ht="15" customHeight="1" x14ac:dyDescent="0.35">
      <c r="A22" s="4" t="s">
        <v>141</v>
      </c>
    </row>
    <row r="23" spans="1:8" s="49" customFormat="1" ht="15" customHeight="1" x14ac:dyDescent="0.35">
      <c r="A23" s="5" t="s">
        <v>142</v>
      </c>
      <c r="B23" s="5" t="s">
        <v>32</v>
      </c>
      <c r="C23" s="5" t="s">
        <v>35</v>
      </c>
      <c r="D23" s="5" t="s">
        <v>143</v>
      </c>
    </row>
    <row r="24" spans="1:8" ht="15" customHeight="1" x14ac:dyDescent="0.35">
      <c r="A24" s="48" t="s">
        <v>144</v>
      </c>
      <c r="B24" s="47">
        <f>CORREL(Data!D3:D32,Data!E3:E32)</f>
        <v>0.2919385140011016</v>
      </c>
      <c r="C24" s="47">
        <f>TDIST(ABS(B24*SQRT($C$4)/SQRT(1-B24^2)),$C$4,2)</f>
        <v>0.11749121494521794</v>
      </c>
      <c r="D24" s="48" t="str">
        <f>IF(ABS(B24)&gt;0.8,"Indikasi multikolinearitas kuat","Aman (r&lt;0,8)")</f>
        <v>Aman (r&lt;0,8)</v>
      </c>
    </row>
    <row r="25" spans="1:8" ht="15" customHeight="1" x14ac:dyDescent="0.35">
      <c r="A25" s="48" t="s">
        <v>145</v>
      </c>
      <c r="B25" s="47">
        <f>CORREL(Data!D3:D32,Data!F3:F32)</f>
        <v>-4.2640294723156738E-2</v>
      </c>
      <c r="C25" s="47">
        <f>TDIST(ABS(B25*SQRT($C$4)/SQRT(1-B25^2)),$C$4,2)</f>
        <v>0.82296886792704071</v>
      </c>
      <c r="D25" s="48" t="str">
        <f>IF(ABS(B25)&gt;0.8,"Indikasi multikolinearitas kuat","Aman (r&lt;0,8)")</f>
        <v>Aman (r&lt;0,8)</v>
      </c>
    </row>
    <row r="26" spans="1:8" ht="15" customHeight="1" x14ac:dyDescent="0.35">
      <c r="A26" s="48" t="s">
        <v>146</v>
      </c>
      <c r="B26" s="47">
        <f>CORREL(Data!E3:E32,Data!F3:F32)</f>
        <v>-0.21427894355615382</v>
      </c>
      <c r="C26" s="47">
        <f>TDIST(ABS(B26*SQRT($C$4)/SQRT(1-B26^2)),$C$4,2)</f>
        <v>0.25551640871468423</v>
      </c>
      <c r="D26" s="48" t="str">
        <f>IF(ABS(B26)&gt;0.8,"Indikasi multikolinearitas kuat","Aman (r&lt;0,8)")</f>
        <v>Aman (r&lt;0,8)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showGridLines="0" topLeftCell="A11" zoomScaleNormal="100" workbookViewId="0">
      <selection activeCell="G15" sqref="G15"/>
    </sheetView>
  </sheetViews>
  <sheetFormatPr defaultColWidth="8.6328125" defaultRowHeight="14.5" x14ac:dyDescent="0.35"/>
  <cols>
    <col min="1" max="1" width="32" customWidth="1"/>
    <col min="2" max="2" width="20.90625" customWidth="1"/>
    <col min="3" max="4" width="18" customWidth="1"/>
    <col min="5" max="5" width="15.1796875" customWidth="1"/>
    <col min="6" max="6" width="8.453125" customWidth="1"/>
    <col min="7" max="7" width="18" customWidth="1"/>
    <col min="8" max="8" width="20" customWidth="1"/>
    <col min="9" max="9" width="18" customWidth="1"/>
  </cols>
  <sheetData>
    <row r="1" spans="1:5" ht="17.25" customHeight="1" x14ac:dyDescent="0.4">
      <c r="A1" s="50" t="s">
        <v>147</v>
      </c>
    </row>
    <row r="2" spans="1:5" ht="15" customHeight="1" x14ac:dyDescent="0.35">
      <c r="A2" s="51" t="s">
        <v>148</v>
      </c>
    </row>
    <row r="4" spans="1:5" ht="15" customHeight="1" x14ac:dyDescent="0.35">
      <c r="A4" s="52" t="s">
        <v>149</v>
      </c>
      <c r="B4" s="53">
        <f>COUNT(Data!G3:G32)</f>
        <v>30</v>
      </c>
    </row>
    <row r="5" spans="1:5" ht="15" customHeight="1" x14ac:dyDescent="0.35">
      <c r="A5" s="52" t="s">
        <v>150</v>
      </c>
      <c r="B5" s="54">
        <v>3</v>
      </c>
    </row>
    <row r="6" spans="1:5" ht="15" customHeight="1" x14ac:dyDescent="0.35">
      <c r="A6" s="52" t="s">
        <v>151</v>
      </c>
      <c r="B6" s="53">
        <f>B5</f>
        <v>3</v>
      </c>
    </row>
    <row r="7" spans="1:5" ht="15" customHeight="1" x14ac:dyDescent="0.35">
      <c r="A7" s="52" t="s">
        <v>152</v>
      </c>
      <c r="B7" s="53">
        <f>B4-B5-1</f>
        <v>26</v>
      </c>
    </row>
    <row r="8" spans="1:5" ht="15" customHeight="1" x14ac:dyDescent="0.35">
      <c r="A8" s="52" t="s">
        <v>124</v>
      </c>
      <c r="B8" s="55">
        <v>0.05</v>
      </c>
    </row>
    <row r="10" spans="1:5" ht="15" customHeight="1" x14ac:dyDescent="0.35">
      <c r="A10" s="56" t="s">
        <v>153</v>
      </c>
    </row>
    <row r="11" spans="1:5" ht="19.5" customHeight="1" x14ac:dyDescent="0.35">
      <c r="A11" s="57" t="s">
        <v>154</v>
      </c>
      <c r="B11" s="57" t="s">
        <v>155</v>
      </c>
      <c r="C11" s="57" t="s">
        <v>156</v>
      </c>
      <c r="D11" s="57" t="s">
        <v>157</v>
      </c>
      <c r="E11" s="57" t="s">
        <v>158</v>
      </c>
    </row>
    <row r="12" spans="1:5" ht="15" customHeight="1" x14ac:dyDescent="0.35">
      <c r="A12" s="58" t="s">
        <v>159</v>
      </c>
      <c r="B12" s="59">
        <f>INDEX(LINEST(Data!$G$3:$G$32,Data!$D$3:$F$32,TRUE(),TRUE()),1,1)</f>
        <v>-131.50163002091085</v>
      </c>
      <c r="C12" s="59">
        <f>INDEX(LINEST(Data!$G$3:$G$32,Data!$D$3:$F$32,TRUE(),TRUE()),1,2)</f>
        <v>28.438920193375921</v>
      </c>
      <c r="D12" s="59">
        <f>INDEX(LINEST(Data!$G$3:$G$32,Data!$D$3:$F$32,TRUE(),TRUE()),1,3)</f>
        <v>-1417.3264378132369</v>
      </c>
      <c r="E12" s="59">
        <f>INDEX(LINEST(Data!$G$3:$G$32,Data!$D$3:$F$32,TRUE(),TRUE()),1,4)</f>
        <v>114350.61666751064</v>
      </c>
    </row>
    <row r="13" spans="1:5" ht="15" customHeight="1" x14ac:dyDescent="0.35">
      <c r="A13" s="58" t="s">
        <v>48</v>
      </c>
      <c r="B13" s="59">
        <f>INDEX(LINEST(Data!$G$3:$G$32,Data!$D$3:$F$32,TRUE(),TRUE()),2,1)</f>
        <v>64.837729332614643</v>
      </c>
      <c r="C13" s="59">
        <f>INDEX(LINEST(Data!$G$3:$G$32,Data!$D$3:$F$32,TRUE(),TRUE()),2,2)</f>
        <v>6.8897849138790939</v>
      </c>
      <c r="D13" s="59">
        <f>INDEX(LINEST(Data!$G$3:$G$32,Data!$D$3:$F$32,TRUE(),TRUE()),2,3)</f>
        <v>1643.9125067189213</v>
      </c>
      <c r="E13" s="59">
        <f>INDEX(LINEST(Data!$G$3:$G$32,Data!$D$3:$F$32,TRUE(),TRUE()),2,4)</f>
        <v>60994.022557157652</v>
      </c>
    </row>
    <row r="14" spans="1:5" ht="15" customHeight="1" x14ac:dyDescent="0.35">
      <c r="A14" s="58" t="s">
        <v>160</v>
      </c>
      <c r="B14" s="59">
        <f>INDEX(LINEST(Data!$G$3:$G$32,Data!$D$3:$F$32,TRUE(),TRUE()),3,1)</f>
        <v>0.50064382689857179</v>
      </c>
      <c r="C14" s="59">
        <f>INDEX(LINEST(Data!$G$3:$G$32,Data!$D$3:$F$32,TRUE(),TRUE()),3,2)</f>
        <v>14901.696563128273</v>
      </c>
      <c r="D14" s="59" t="str">
        <f>IFERROR(INDEX(LINEST(Data!$G$3:$G$32,Data!$D$3:$F$32,TRUE(),TRUE()),3,3),"-")</f>
        <v>-</v>
      </c>
      <c r="E14" s="59" t="str">
        <f>IFERROR(INDEX(LINEST(Data!$G$3:$G$32,Data!$D$3:$F$32,TRUE(),TRUE()),3,4),"-")</f>
        <v>-</v>
      </c>
    </row>
    <row r="15" spans="1:5" ht="15" customHeight="1" x14ac:dyDescent="0.35">
      <c r="A15" s="58" t="s">
        <v>161</v>
      </c>
      <c r="B15" s="59">
        <f>INDEX(LINEST(Data!$G$3:$G$32,Data!$D$3:$F$32,TRUE(),TRUE()),4,1)</f>
        <v>8.6890147757780447</v>
      </c>
      <c r="C15" s="59">
        <f>INDEX(LINEST(Data!$G$3:$G$32,Data!$D$3:$F$32,TRUE(),TRUE()),4,2)</f>
        <v>26</v>
      </c>
      <c r="D15" s="59" t="str">
        <f>IFERROR(INDEX(LINEST(Data!$G$3:$G$32,Data!$D$3:$F$32,TRUE(),TRUE()),4,3),"-")</f>
        <v>-</v>
      </c>
      <c r="E15" s="59" t="str">
        <f>IFERROR(INDEX(LINEST(Data!$G$3:$G$32,Data!$D$3:$F$32,TRUE(),TRUE()),4,4),"-")</f>
        <v>-</v>
      </c>
    </row>
    <row r="16" spans="1:5" ht="15" customHeight="1" x14ac:dyDescent="0.35">
      <c r="A16" s="58" t="s">
        <v>162</v>
      </c>
      <c r="B16" s="59">
        <f>INDEX(LINEST(Data!$G$3:$G$32,Data!$D$3:$F$32,TRUE(),TRUE()),5,1)</f>
        <v>5788462472.8517256</v>
      </c>
      <c r="C16" s="59">
        <f>INDEX(LINEST(Data!$G$3:$G$32,Data!$D$3:$F$32,TRUE(),TRUE()),5,2)</f>
        <v>5773574571.9482737</v>
      </c>
      <c r="D16" s="59" t="str">
        <f>IFERROR(INDEX(LINEST(Data!$G$3:$G$32,Data!$D$3:$F$32,TRUE(),TRUE()),5,3),"-")</f>
        <v>-</v>
      </c>
      <c r="E16" s="59" t="str">
        <f>IFERROR(INDEX(LINEST(Data!$G$3:$G$32,Data!$D$3:$F$32,TRUE(),TRUE()),5,4),"-")</f>
        <v>-</v>
      </c>
    </row>
    <row r="18" spans="1:9" ht="15" customHeight="1" x14ac:dyDescent="0.35">
      <c r="A18" s="56" t="s">
        <v>163</v>
      </c>
    </row>
    <row r="19" spans="1:9" ht="15" customHeight="1" x14ac:dyDescent="0.35">
      <c r="A19" s="57" t="s">
        <v>31</v>
      </c>
      <c r="B19" s="57" t="s">
        <v>159</v>
      </c>
      <c r="C19" s="57" t="s">
        <v>48</v>
      </c>
      <c r="D19" s="57" t="s">
        <v>34</v>
      </c>
      <c r="E19" s="57" t="s">
        <v>35</v>
      </c>
      <c r="F19" s="57" t="s">
        <v>164</v>
      </c>
      <c r="G19" s="57" t="s">
        <v>165</v>
      </c>
      <c r="H19" s="57" t="s">
        <v>166</v>
      </c>
      <c r="I19" s="57" t="s">
        <v>167</v>
      </c>
    </row>
    <row r="20" spans="1:9" ht="15" customHeight="1" x14ac:dyDescent="0.35">
      <c r="A20" s="60" t="s">
        <v>50</v>
      </c>
      <c r="B20" s="99">
        <f>E12</f>
        <v>114350.61666751064</v>
      </c>
      <c r="C20" s="99">
        <f>E13</f>
        <v>60994.022557157652</v>
      </c>
      <c r="D20" s="99">
        <f>B20/C20</f>
        <v>1.8747839849446293</v>
      </c>
      <c r="E20" s="100">
        <f>TDIST(ABS(D20),$B$7,2)</f>
        <v>7.2098650609151729E-2</v>
      </c>
      <c r="F20" s="100">
        <f>TINV($B$8,$B$7)</f>
        <v>2.0555294386428731</v>
      </c>
      <c r="G20" s="63" t="str">
        <f>IF(E20&lt;$B$8,"Signifikan","Tidak Signifikan")</f>
        <v>Tidak Signifikan</v>
      </c>
      <c r="H20" s="99">
        <f>B20-F20*C20</f>
        <v>-11024.392279974374</v>
      </c>
      <c r="I20" s="99">
        <f>B20+F20*C20</f>
        <v>239725.62561499566</v>
      </c>
    </row>
    <row r="21" spans="1:9" ht="15" customHeight="1" x14ac:dyDescent="0.35">
      <c r="A21" s="60" t="s">
        <v>168</v>
      </c>
      <c r="B21" s="99">
        <f>D12</f>
        <v>-1417.3264378132369</v>
      </c>
      <c r="C21" s="99">
        <f>D13</f>
        <v>1643.9125067189213</v>
      </c>
      <c r="D21" s="99">
        <f>B21/C21</f>
        <v>-0.86216658856259532</v>
      </c>
      <c r="E21" s="100">
        <f>TDIST(ABS(D21),$B$7,2)</f>
        <v>0.3964785097950827</v>
      </c>
      <c r="F21" s="100">
        <f>TINV($B$8,$B$7)</f>
        <v>2.0555294386428731</v>
      </c>
      <c r="G21" s="63" t="str">
        <f>IF(E21&lt;$B$8,"Signifikan","Tidak Signifikan")</f>
        <v>Tidak Signifikan</v>
      </c>
      <c r="H21" s="99">
        <f>B21-F21*C21</f>
        <v>-4796.4369899271796</v>
      </c>
      <c r="I21" s="99">
        <f>B21+F21*C21</f>
        <v>1961.7841143007056</v>
      </c>
    </row>
    <row r="22" spans="1:9" ht="15" customHeight="1" x14ac:dyDescent="0.35">
      <c r="A22" s="60" t="s">
        <v>169</v>
      </c>
      <c r="B22" s="99">
        <f>C12</f>
        <v>28.438920193375921</v>
      </c>
      <c r="C22" s="99">
        <f>C13</f>
        <v>6.8897849138790939</v>
      </c>
      <c r="D22" s="99">
        <f>B22/C22</f>
        <v>4.1276934692238765</v>
      </c>
      <c r="E22" s="100">
        <f>TDIST(ABS(D22),$B$7,2)</f>
        <v>3.3485832961311246E-4</v>
      </c>
      <c r="F22" s="100">
        <f>TINV($B$8,$B$7)</f>
        <v>2.0555294386428731</v>
      </c>
      <c r="G22" s="63" t="str">
        <f>IF(E22&lt;$B$8,"Signifikan","Tidak Signifikan")</f>
        <v>Signifikan</v>
      </c>
      <c r="H22" s="99">
        <f>B22-F22*C22</f>
        <v>14.276764476979892</v>
      </c>
      <c r="I22" s="99">
        <f>B22+F22*C22</f>
        <v>42.60107590977195</v>
      </c>
    </row>
    <row r="23" spans="1:9" ht="15" customHeight="1" x14ac:dyDescent="0.35">
      <c r="A23" s="60" t="s">
        <v>170</v>
      </c>
      <c r="B23" s="99">
        <f>B12</f>
        <v>-131.50163002091085</v>
      </c>
      <c r="C23" s="99">
        <f>B13</f>
        <v>64.837729332614643</v>
      </c>
      <c r="D23" s="99">
        <f>B23/C23</f>
        <v>-2.0281652577053308</v>
      </c>
      <c r="E23" s="100">
        <f>TDIST(ABS(D23),$B$7,2)</f>
        <v>5.2904187328393283E-2</v>
      </c>
      <c r="F23" s="100">
        <f>TINV($B$8,$B$7)</f>
        <v>2.0555294386428731</v>
      </c>
      <c r="G23" s="63" t="str">
        <f>IF(E23&lt;$B$8,"Signifikan","Tidak Signifikan")</f>
        <v>Tidak Signifikan</v>
      </c>
      <c r="H23" s="99">
        <f>B23-F23*C23</f>
        <v>-264.77749139885879</v>
      </c>
      <c r="I23" s="99">
        <f>B23+F23*C23</f>
        <v>1.7742313570370811</v>
      </c>
    </row>
    <row r="24" spans="1:9" ht="15" customHeight="1" x14ac:dyDescent="0.35">
      <c r="A24" s="51" t="s">
        <v>171</v>
      </c>
    </row>
    <row r="26" spans="1:9" ht="15" customHeight="1" x14ac:dyDescent="0.35">
      <c r="A26" s="56" t="s">
        <v>172</v>
      </c>
    </row>
    <row r="27" spans="1:9" s="1" customFormat="1" ht="23.25" customHeight="1" x14ac:dyDescent="0.35">
      <c r="A27" s="9" t="s">
        <v>173</v>
      </c>
      <c r="B27" s="9" t="s">
        <v>174</v>
      </c>
      <c r="C27" s="9" t="s">
        <v>175</v>
      </c>
      <c r="D27" s="9" t="s">
        <v>176</v>
      </c>
      <c r="E27" s="9" t="s">
        <v>42</v>
      </c>
      <c r="F27" s="9" t="s">
        <v>177</v>
      </c>
      <c r="G27" s="9" t="s">
        <v>44</v>
      </c>
      <c r="H27" s="9" t="s">
        <v>36</v>
      </c>
    </row>
    <row r="28" spans="1:9" ht="15" customHeight="1" x14ac:dyDescent="0.35">
      <c r="A28" s="60" t="s">
        <v>178</v>
      </c>
      <c r="B28" s="64">
        <f>B16</f>
        <v>5788462472.8517256</v>
      </c>
      <c r="C28" s="64">
        <f>B6</f>
        <v>3</v>
      </c>
      <c r="D28" s="64">
        <f>B28/C28</f>
        <v>1929487490.9505751</v>
      </c>
      <c r="E28" s="64">
        <f>D28/D29</f>
        <v>8.6890147757780447</v>
      </c>
      <c r="F28" s="64">
        <f>FINV($B$8,$B$6,$B$7)</f>
        <v>2.9751539639733933</v>
      </c>
      <c r="G28" s="64">
        <f>FDIST(E28,$B$6,$B$7)</f>
        <v>3.6769476625170006E-4</v>
      </c>
      <c r="H28" s="116" t="str">
        <f>IF(G28&lt;$B$8,"Model SIGNIFIKAN / layak digunakan","Model tidak signifikan")</f>
        <v>Model SIGNIFIKAN / layak digunakan</v>
      </c>
    </row>
    <row r="29" spans="1:9" ht="15" customHeight="1" x14ac:dyDescent="0.35">
      <c r="A29" s="60" t="s">
        <v>179</v>
      </c>
      <c r="B29" s="64">
        <f>C16</f>
        <v>5773574571.9482737</v>
      </c>
      <c r="C29" s="64">
        <f>B7</f>
        <v>26</v>
      </c>
      <c r="D29" s="64">
        <f>B29/C29</f>
        <v>222060560.45954898</v>
      </c>
      <c r="E29" s="64"/>
      <c r="F29" s="64"/>
      <c r="G29" s="64"/>
      <c r="H29" s="117"/>
    </row>
    <row r="30" spans="1:9" ht="15" customHeight="1" x14ac:dyDescent="0.35">
      <c r="A30" s="60" t="s">
        <v>180</v>
      </c>
      <c r="B30" s="64">
        <f>B28+B29</f>
        <v>11562037044.799999</v>
      </c>
      <c r="C30" s="64">
        <f>C28+C29</f>
        <v>29</v>
      </c>
      <c r="D30" s="64"/>
      <c r="E30" s="64"/>
      <c r="F30" s="64"/>
      <c r="G30" s="64"/>
      <c r="H30" s="118"/>
    </row>
    <row r="31" spans="1:9" ht="15" customHeight="1" x14ac:dyDescent="0.35">
      <c r="A31" s="51" t="s">
        <v>181</v>
      </c>
    </row>
    <row r="33" spans="1:2" ht="15" customHeight="1" x14ac:dyDescent="0.35">
      <c r="A33" s="56" t="s">
        <v>182</v>
      </c>
    </row>
    <row r="34" spans="1:2" ht="15" customHeight="1" x14ac:dyDescent="0.35">
      <c r="A34" s="65" t="s">
        <v>183</v>
      </c>
      <c r="B34" s="66">
        <f>SQRT(B14)</f>
        <v>0.70756188909421325</v>
      </c>
    </row>
    <row r="35" spans="1:2" ht="15" customHeight="1" x14ac:dyDescent="0.35">
      <c r="A35" s="65" t="s">
        <v>55</v>
      </c>
      <c r="B35" s="66">
        <f>B14</f>
        <v>0.50064382689857179</v>
      </c>
    </row>
    <row r="36" spans="1:2" ht="15" customHeight="1" x14ac:dyDescent="0.35">
      <c r="A36" s="65" t="s">
        <v>56</v>
      </c>
      <c r="B36" s="67">
        <f>B14*100</f>
        <v>50.064382689857176</v>
      </c>
    </row>
    <row r="37" spans="1:2" ht="15" customHeight="1" x14ac:dyDescent="0.35">
      <c r="A37" s="65" t="s">
        <v>57</v>
      </c>
      <c r="B37" s="66">
        <f>1-((1-B14)*(B4-1)/(B4-B5-1))</f>
        <v>0.44302580692533011</v>
      </c>
    </row>
    <row r="38" spans="1:2" ht="15" customHeight="1" x14ac:dyDescent="0.35">
      <c r="A38" s="65" t="s">
        <v>58</v>
      </c>
      <c r="B38" s="68">
        <f>C14</f>
        <v>14901.696563128273</v>
      </c>
    </row>
    <row r="39" spans="1:2" ht="15" customHeight="1" x14ac:dyDescent="0.35">
      <c r="A39" s="65" t="s">
        <v>184</v>
      </c>
      <c r="B39" s="67">
        <f>AVERAGE('Index Ideal'!J3:J32)</f>
        <v>17.024695740109539</v>
      </c>
    </row>
    <row r="41" spans="1:2" ht="15" customHeight="1" x14ac:dyDescent="0.35">
      <c r="A41" s="56" t="s">
        <v>185</v>
      </c>
    </row>
    <row r="42" spans="1:2" ht="15" customHeight="1" x14ac:dyDescent="0.35">
      <c r="A42" s="69" t="str">
        <f>"Y = "&amp;TEXT(B20,"#,##0.00")&amp;" + ("&amp;TEXT(B21,"#,##0.00")&amp;" x X1) + ("&amp;TEXT(B22,"#,##0.00")&amp;" x X2) + ("&amp;TEXT(B23,"#,##0.00")&amp;" x X3)"</f>
        <v>Y = 114350,61667 + (-1417,32644 x X1) + (28,43892 x X2) + (-131,50163 x X3)</v>
      </c>
    </row>
  </sheetData>
  <mergeCells count="1">
    <mergeCell ref="H28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4"/>
  <sheetViews>
    <sheetView showGridLines="0" zoomScale="105" zoomScaleNormal="105" workbookViewId="0">
      <pane xSplit="2" ySplit="4" topLeftCell="G16" activePane="bottomRight" state="frozen"/>
      <selection pane="topRight" activeCell="C1" sqref="C1"/>
      <selection pane="bottomLeft" activeCell="A27" sqref="A27"/>
      <selection pane="bottomRight" activeCell="E64" sqref="E64"/>
    </sheetView>
  </sheetViews>
  <sheetFormatPr defaultColWidth="8.6328125" defaultRowHeight="14.5" x14ac:dyDescent="0.35"/>
  <cols>
    <col min="1" max="1" width="29.90625" customWidth="1"/>
    <col min="2" max="2" width="22.453125" customWidth="1"/>
    <col min="3" max="3" width="17" customWidth="1"/>
    <col min="4" max="4" width="22.453125" customWidth="1"/>
    <col min="5" max="5" width="20" customWidth="1"/>
    <col min="6" max="9" width="17" customWidth="1"/>
    <col min="11" max="16" width="10" style="49" customWidth="1"/>
  </cols>
  <sheetData>
    <row r="1" spans="1:16" ht="17.25" customHeight="1" x14ac:dyDescent="0.4">
      <c r="A1" s="50" t="s">
        <v>186</v>
      </c>
    </row>
    <row r="2" spans="1:16" ht="15" customHeight="1" x14ac:dyDescent="0.35">
      <c r="A2" s="51" t="s">
        <v>287</v>
      </c>
    </row>
    <row r="3" spans="1:16" ht="15" customHeight="1" x14ac:dyDescent="0.35">
      <c r="K3" s="113" t="s">
        <v>187</v>
      </c>
    </row>
    <row r="4" spans="1:16" ht="15" customHeight="1" x14ac:dyDescent="0.35">
      <c r="A4" s="9" t="s">
        <v>92</v>
      </c>
      <c r="B4" s="9" t="s">
        <v>188</v>
      </c>
      <c r="C4" s="9" t="s">
        <v>189</v>
      </c>
      <c r="D4" s="9" t="s">
        <v>190</v>
      </c>
      <c r="E4" s="9" t="s">
        <v>191</v>
      </c>
      <c r="F4" s="9" t="s">
        <v>192</v>
      </c>
      <c r="G4" s="9" t="s">
        <v>193</v>
      </c>
      <c r="H4" s="9" t="s">
        <v>194</v>
      </c>
      <c r="I4" s="9" t="s">
        <v>195</v>
      </c>
      <c r="K4" s="9" t="s">
        <v>196</v>
      </c>
      <c r="L4" s="9" t="s">
        <v>197</v>
      </c>
      <c r="M4" s="9" t="s">
        <v>198</v>
      </c>
      <c r="N4" s="9" t="s">
        <v>197</v>
      </c>
      <c r="O4" s="9" t="s">
        <v>196</v>
      </c>
      <c r="P4" s="9" t="s">
        <v>198</v>
      </c>
    </row>
    <row r="5" spans="1:16" ht="15" customHeight="1" x14ac:dyDescent="0.35">
      <c r="A5" s="63">
        <f>Data!C3</f>
        <v>1</v>
      </c>
      <c r="B5" s="60" t="str">
        <f>Data!B3&amp;" "&amp;Data!A3</f>
        <v>Januari 2024</v>
      </c>
      <c r="C5" s="70">
        <f>Data!G3</f>
        <v>81305</v>
      </c>
      <c r="D5" s="70">
        <f>'Index Ideal'!G3</f>
        <v>63244.935584395207</v>
      </c>
      <c r="E5" s="70">
        <f t="shared" ref="E5:E34" si="0">C5-D5</f>
        <v>18060.064415604793</v>
      </c>
      <c r="F5" s="70">
        <f t="shared" ref="F5:F34" si="1">E5^2</f>
        <v>326165926.69579446</v>
      </c>
      <c r="G5" s="70">
        <f t="shared" ref="G5:G34" si="2">ABS(E5)</f>
        <v>18060.064415604793</v>
      </c>
      <c r="H5" s="67">
        <f>E5/Regresi!$B$38</f>
        <v>1.2119468638417565</v>
      </c>
      <c r="I5" s="70" t="s">
        <v>199</v>
      </c>
      <c r="K5" s="77">
        <f>Data!D3</f>
        <v>20</v>
      </c>
      <c r="L5" s="77">
        <f>Data!E3</f>
        <v>3107</v>
      </c>
      <c r="M5" s="77">
        <f>Data!F3</f>
        <v>845</v>
      </c>
      <c r="N5" s="77">
        <f>Data!E3</f>
        <v>3107</v>
      </c>
      <c r="O5" s="77">
        <f>Data!D3</f>
        <v>20</v>
      </c>
      <c r="P5" s="77">
        <f>Data!F3</f>
        <v>845</v>
      </c>
    </row>
    <row r="6" spans="1:16" ht="15" customHeight="1" x14ac:dyDescent="0.35">
      <c r="A6" s="63">
        <f>Data!C4</f>
        <v>2</v>
      </c>
      <c r="B6" s="60" t="str">
        <f>Data!B4&amp;" "&amp;Data!A4</f>
        <v>Februari 2024</v>
      </c>
      <c r="C6" s="70">
        <f>Data!G4</f>
        <v>67057</v>
      </c>
      <c r="D6" s="70">
        <f>'Index Ideal'!G4</f>
        <v>52741.559199552707</v>
      </c>
      <c r="E6" s="70">
        <f t="shared" si="0"/>
        <v>14315.440800447293</v>
      </c>
      <c r="F6" s="70">
        <f t="shared" si="1"/>
        <v>204931845.31111103</v>
      </c>
      <c r="G6" s="70">
        <f t="shared" si="2"/>
        <v>14315.440800447293</v>
      </c>
      <c r="H6" s="67">
        <f>E6/Regresi!$B$38</f>
        <v>0.96065845521700055</v>
      </c>
      <c r="I6" s="70">
        <f t="shared" ref="I6:I34" si="3">(E6-E5)^2</f>
        <v>14022206.019195221</v>
      </c>
      <c r="K6" s="77">
        <f>Data!D4</f>
        <v>22</v>
      </c>
      <c r="L6" s="77">
        <f>Data!E4</f>
        <v>2694</v>
      </c>
      <c r="M6" s="77">
        <f>Data!F4</f>
        <v>814</v>
      </c>
      <c r="N6" s="77">
        <f>Data!E4</f>
        <v>2694</v>
      </c>
      <c r="O6" s="77">
        <f>Data!D4</f>
        <v>22</v>
      </c>
      <c r="P6" s="77">
        <f>Data!F4</f>
        <v>814</v>
      </c>
    </row>
    <row r="7" spans="1:16" ht="15" customHeight="1" x14ac:dyDescent="0.35">
      <c r="A7" s="63">
        <f>Data!C5</f>
        <v>3</v>
      </c>
      <c r="B7" s="60" t="str">
        <f>Data!B5&amp;" "&amp;Data!A5</f>
        <v>Maret 2024</v>
      </c>
      <c r="C7" s="70">
        <f>Data!G5</f>
        <v>39619</v>
      </c>
      <c r="D7" s="70">
        <f>'Index Ideal'!G5</f>
        <v>45361.566139926435</v>
      </c>
      <c r="E7" s="70">
        <f t="shared" si="0"/>
        <v>-5742.5661399264354</v>
      </c>
      <c r="F7" s="70">
        <f t="shared" si="1"/>
        <v>32977065.8714296</v>
      </c>
      <c r="G7" s="70">
        <f t="shared" si="2"/>
        <v>5742.5661399264354</v>
      </c>
      <c r="H7" s="67">
        <f>E7/Regresi!$B$38</f>
        <v>-0.38536324475532829</v>
      </c>
      <c r="I7" s="70">
        <f t="shared" si="3"/>
        <v>402323642.42008066</v>
      </c>
      <c r="K7" s="77">
        <f>Data!D5</f>
        <v>19</v>
      </c>
      <c r="L7" s="77">
        <f>Data!E5</f>
        <v>2211</v>
      </c>
      <c r="M7" s="77">
        <f>Data!F5</f>
        <v>798</v>
      </c>
      <c r="N7" s="77">
        <f>Data!E5</f>
        <v>2211</v>
      </c>
      <c r="O7" s="77">
        <f>Data!D5</f>
        <v>19</v>
      </c>
      <c r="P7" s="77">
        <f>Data!F5</f>
        <v>798</v>
      </c>
    </row>
    <row r="8" spans="1:16" ht="15" customHeight="1" x14ac:dyDescent="0.35">
      <c r="A8" s="63">
        <f>Data!C6</f>
        <v>4</v>
      </c>
      <c r="B8" s="60" t="str">
        <f>Data!B6&amp;" "&amp;Data!A6</f>
        <v>April 2024</v>
      </c>
      <c r="C8" s="70">
        <f>Data!G6</f>
        <v>42895</v>
      </c>
      <c r="D8" s="70">
        <f>'Index Ideal'!G6</f>
        <v>50554.968557380649</v>
      </c>
      <c r="E8" s="70">
        <f t="shared" si="0"/>
        <v>-7659.9685573806491</v>
      </c>
      <c r="F8" s="70">
        <f t="shared" si="1"/>
        <v>58675118.300060183</v>
      </c>
      <c r="G8" s="70">
        <f t="shared" si="2"/>
        <v>7659.9685573806491</v>
      </c>
      <c r="H8" s="67">
        <f>E8/Regresi!$B$38</f>
        <v>-0.51403331995995316</v>
      </c>
      <c r="I8" s="70">
        <f t="shared" si="3"/>
        <v>3676432.0304592629</v>
      </c>
      <c r="K8" s="77">
        <f>Data!D6</f>
        <v>19</v>
      </c>
      <c r="L8" s="77">
        <f>Data!E6</f>
        <v>2352</v>
      </c>
      <c r="M8" s="77">
        <f>Data!F6</f>
        <v>789</v>
      </c>
      <c r="N8" s="77">
        <f>Data!E6</f>
        <v>2352</v>
      </c>
      <c r="O8" s="77">
        <f>Data!D6</f>
        <v>19</v>
      </c>
      <c r="P8" s="77">
        <f>Data!F6</f>
        <v>789</v>
      </c>
    </row>
    <row r="9" spans="1:16" ht="15" customHeight="1" x14ac:dyDescent="0.35">
      <c r="A9" s="63">
        <f>Data!C7</f>
        <v>5</v>
      </c>
      <c r="B9" s="60" t="str">
        <f>Data!B7&amp;" "&amp;Data!A7</f>
        <v>Mei 2024</v>
      </c>
      <c r="C9" s="70">
        <f>Data!G7</f>
        <v>36966</v>
      </c>
      <c r="D9" s="70">
        <f>'Index Ideal'!G7</f>
        <v>49363.51311498908</v>
      </c>
      <c r="E9" s="70">
        <f t="shared" si="0"/>
        <v>-12397.51311498908</v>
      </c>
      <c r="F9" s="70">
        <f t="shared" si="1"/>
        <v>153698331.43632624</v>
      </c>
      <c r="G9" s="70">
        <f t="shared" si="2"/>
        <v>12397.51311498908</v>
      </c>
      <c r="H9" s="67">
        <f>E9/Regresi!$B$38</f>
        <v>-0.83195313113975422</v>
      </c>
      <c r="I9" s="70">
        <f t="shared" si="3"/>
        <v>22444328.435325265</v>
      </c>
      <c r="K9" s="77">
        <f>Data!D7</f>
        <v>16</v>
      </c>
      <c r="L9" s="77">
        <f>Data!E7</f>
        <v>2008</v>
      </c>
      <c r="M9" s="77">
        <f>Data!F7</f>
        <v>756</v>
      </c>
      <c r="N9" s="77">
        <f>Data!E7</f>
        <v>2008</v>
      </c>
      <c r="O9" s="77">
        <f>Data!D7</f>
        <v>16</v>
      </c>
      <c r="P9" s="77">
        <f>Data!F7</f>
        <v>756</v>
      </c>
    </row>
    <row r="10" spans="1:16" ht="15" customHeight="1" x14ac:dyDescent="0.35">
      <c r="A10" s="63">
        <f>Data!C8</f>
        <v>6</v>
      </c>
      <c r="B10" s="60" t="str">
        <f>Data!B8&amp;" "&amp;Data!A8</f>
        <v>Juni 2024</v>
      </c>
      <c r="C10" s="70">
        <f>Data!G8</f>
        <v>59948</v>
      </c>
      <c r="D10" s="70">
        <f>'Index Ideal'!G8</f>
        <v>57736.888988912906</v>
      </c>
      <c r="E10" s="70">
        <f t="shared" si="0"/>
        <v>2211.1110110870941</v>
      </c>
      <c r="F10" s="70">
        <f t="shared" si="1"/>
        <v>4889011.9033505917</v>
      </c>
      <c r="G10" s="70">
        <f t="shared" si="2"/>
        <v>2211.1110110870941</v>
      </c>
      <c r="H10" s="67">
        <f>E10/Regresi!$B$38</f>
        <v>0.14837981713827902</v>
      </c>
      <c r="I10" s="70">
        <f t="shared" si="3"/>
        <v>213411898.85697487</v>
      </c>
      <c r="K10" s="77">
        <f>Data!D8</f>
        <v>20</v>
      </c>
      <c r="L10" s="77">
        <f>Data!E8</f>
        <v>2659</v>
      </c>
      <c r="M10" s="77">
        <f>Data!F8</f>
        <v>790</v>
      </c>
      <c r="N10" s="77">
        <f>Data!E8</f>
        <v>2659</v>
      </c>
      <c r="O10" s="77">
        <f>Data!D8</f>
        <v>20</v>
      </c>
      <c r="P10" s="77">
        <f>Data!F8</f>
        <v>790</v>
      </c>
    </row>
    <row r="11" spans="1:16" ht="15" customHeight="1" x14ac:dyDescent="0.35">
      <c r="A11" s="63">
        <f>Data!C9</f>
        <v>7</v>
      </c>
      <c r="B11" s="60" t="str">
        <f>Data!B9&amp;" "&amp;Data!A9</f>
        <v>Juli 2024</v>
      </c>
      <c r="C11" s="70">
        <f>Data!G9</f>
        <v>82171</v>
      </c>
      <c r="D11" s="70">
        <f>'Index Ideal'!G9</f>
        <v>64273.221061533826</v>
      </c>
      <c r="E11" s="70">
        <f t="shared" si="0"/>
        <v>17897.778938466174</v>
      </c>
      <c r="F11" s="70">
        <f t="shared" si="1"/>
        <v>320330490.93020338</v>
      </c>
      <c r="G11" s="70">
        <f t="shared" si="2"/>
        <v>17897.778938466174</v>
      </c>
      <c r="H11" s="67">
        <f>E11/Regresi!$B$38</f>
        <v>1.2010564610979397</v>
      </c>
      <c r="I11" s="70">
        <f t="shared" si="3"/>
        <v>246071550.66386348</v>
      </c>
      <c r="K11" s="77">
        <f>Data!D9</f>
        <v>19</v>
      </c>
      <c r="L11" s="77">
        <f>Data!E9</f>
        <v>2839</v>
      </c>
      <c r="M11" s="77">
        <f>Data!F9</f>
        <v>790</v>
      </c>
      <c r="N11" s="77">
        <f>Data!E9</f>
        <v>2839</v>
      </c>
      <c r="O11" s="77">
        <f>Data!D9</f>
        <v>19</v>
      </c>
      <c r="P11" s="77">
        <f>Data!F9</f>
        <v>790</v>
      </c>
    </row>
    <row r="12" spans="1:16" ht="15" customHeight="1" x14ac:dyDescent="0.35">
      <c r="A12" s="63">
        <f>Data!C10</f>
        <v>8</v>
      </c>
      <c r="B12" s="60" t="str">
        <f>Data!B10&amp;" "&amp;Data!A10</f>
        <v>Agustus 2024</v>
      </c>
      <c r="C12" s="70">
        <f>Data!G10</f>
        <v>90534</v>
      </c>
      <c r="D12" s="70">
        <f>'Index Ideal'!G10</f>
        <v>88386.227053641298</v>
      </c>
      <c r="E12" s="70">
        <f t="shared" si="0"/>
        <v>2147.772946358702</v>
      </c>
      <c r="F12" s="70">
        <f t="shared" si="1"/>
        <v>4612928.62911034</v>
      </c>
      <c r="G12" s="70">
        <f t="shared" si="2"/>
        <v>2147.772946358702</v>
      </c>
      <c r="H12" s="67">
        <f>E12/Regresi!$B$38</f>
        <v>0.144129424274616</v>
      </c>
      <c r="I12" s="70">
        <f t="shared" si="3"/>
        <v>248062688.75142127</v>
      </c>
      <c r="K12" s="77">
        <f>Data!D10</f>
        <v>22</v>
      </c>
      <c r="L12" s="77">
        <f>Data!E10</f>
        <v>3374</v>
      </c>
      <c r="M12" s="77">
        <f>Data!F10</f>
        <v>690</v>
      </c>
      <c r="N12" s="77">
        <f>Data!E10</f>
        <v>3374</v>
      </c>
      <c r="O12" s="77">
        <f>Data!D10</f>
        <v>22</v>
      </c>
      <c r="P12" s="77">
        <f>Data!F10</f>
        <v>690</v>
      </c>
    </row>
    <row r="13" spans="1:16" ht="15" customHeight="1" x14ac:dyDescent="0.35">
      <c r="A13" s="63">
        <f>Data!C11</f>
        <v>9</v>
      </c>
      <c r="B13" s="60" t="str">
        <f>Data!B11&amp;" "&amp;Data!A11</f>
        <v>September 2024</v>
      </c>
      <c r="C13" s="70">
        <f>Data!G11</f>
        <v>100190</v>
      </c>
      <c r="D13" s="70">
        <f>'Index Ideal'!G11</f>
        <v>83665.366301540882</v>
      </c>
      <c r="E13" s="70">
        <f t="shared" si="0"/>
        <v>16524.633698459118</v>
      </c>
      <c r="F13" s="70">
        <f t="shared" si="1"/>
        <v>273063518.86825067</v>
      </c>
      <c r="G13" s="70">
        <f t="shared" si="2"/>
        <v>16524.633698459118</v>
      </c>
      <c r="H13" s="67">
        <f>E13/Regresi!$B$38</f>
        <v>1.1089095545903498</v>
      </c>
      <c r="I13" s="70">
        <f t="shared" si="3"/>
        <v>206694125.08528534</v>
      </c>
      <c r="K13" s="77">
        <f>Data!D11</f>
        <v>22</v>
      </c>
      <c r="L13" s="77">
        <f>Data!E11</f>
        <v>3208</v>
      </c>
      <c r="M13" s="77">
        <f>Data!F11</f>
        <v>690</v>
      </c>
      <c r="N13" s="77">
        <f>Data!E11</f>
        <v>3208</v>
      </c>
      <c r="O13" s="77">
        <f>Data!D11</f>
        <v>22</v>
      </c>
      <c r="P13" s="77">
        <f>Data!F11</f>
        <v>690</v>
      </c>
    </row>
    <row r="14" spans="1:16" ht="15" customHeight="1" x14ac:dyDescent="0.35">
      <c r="A14" s="63">
        <f>Data!C12</f>
        <v>10</v>
      </c>
      <c r="B14" s="60" t="str">
        <f>Data!B12&amp;" "&amp;Data!A12</f>
        <v>Oktober 2024</v>
      </c>
      <c r="C14" s="70">
        <f>Data!G12</f>
        <v>91437</v>
      </c>
      <c r="D14" s="70">
        <f>'Index Ideal'!G12</f>
        <v>80318.30753124645</v>
      </c>
      <c r="E14" s="70">
        <f t="shared" si="0"/>
        <v>11118.69246875355</v>
      </c>
      <c r="F14" s="70">
        <f t="shared" si="1"/>
        <v>123625322.21471691</v>
      </c>
      <c r="G14" s="70">
        <f t="shared" si="2"/>
        <v>11118.69246875355</v>
      </c>
      <c r="H14" s="67">
        <f>E14/Regresi!$B$38</f>
        <v>0.74613601355062309</v>
      </c>
      <c r="I14" s="70">
        <f t="shared" si="3"/>
        <v>29224200.579030547</v>
      </c>
      <c r="K14" s="77">
        <f>Data!D12</f>
        <v>20</v>
      </c>
      <c r="L14" s="77">
        <f>Data!E12</f>
        <v>3023</v>
      </c>
      <c r="M14" s="77">
        <f>Data!F12</f>
        <v>697</v>
      </c>
      <c r="N14" s="77">
        <f>Data!E12</f>
        <v>3023</v>
      </c>
      <c r="O14" s="77">
        <f>Data!D12</f>
        <v>20</v>
      </c>
      <c r="P14" s="77">
        <f>Data!F12</f>
        <v>697</v>
      </c>
    </row>
    <row r="15" spans="1:16" ht="15" customHeight="1" x14ac:dyDescent="0.35">
      <c r="A15" s="63">
        <f>Data!C13</f>
        <v>11</v>
      </c>
      <c r="B15" s="60" t="str">
        <f>Data!B13&amp;" "&amp;Data!A13</f>
        <v>November 2024</v>
      </c>
      <c r="C15" s="70">
        <f>Data!G13</f>
        <v>76332</v>
      </c>
      <c r="D15" s="70">
        <f>'Index Ideal'!G13</f>
        <v>81757.752249126439</v>
      </c>
      <c r="E15" s="70">
        <f t="shared" si="0"/>
        <v>-5425.752249126439</v>
      </c>
      <c r="F15" s="70">
        <f t="shared" si="1"/>
        <v>29438787.46890061</v>
      </c>
      <c r="G15" s="70">
        <f t="shared" si="2"/>
        <v>5425.752249126439</v>
      </c>
      <c r="H15" s="67">
        <f>E15/Regresi!$B$38</f>
        <v>-0.36410298828333043</v>
      </c>
      <c r="I15" s="70">
        <f t="shared" si="3"/>
        <v>273718651.02298707</v>
      </c>
      <c r="K15" s="77">
        <f>Data!D13</f>
        <v>23</v>
      </c>
      <c r="L15" s="77">
        <f>Data!E13</f>
        <v>3237</v>
      </c>
      <c r="M15" s="77">
        <f>Data!F13</f>
        <v>700</v>
      </c>
      <c r="N15" s="77">
        <f>Data!E13</f>
        <v>3237</v>
      </c>
      <c r="O15" s="77">
        <f>Data!D13</f>
        <v>23</v>
      </c>
      <c r="P15" s="77">
        <f>Data!F13</f>
        <v>700</v>
      </c>
    </row>
    <row r="16" spans="1:16" ht="15" customHeight="1" x14ac:dyDescent="0.35">
      <c r="A16" s="63">
        <f>Data!C14</f>
        <v>12</v>
      </c>
      <c r="B16" s="60" t="str">
        <f>Data!B14&amp;" "&amp;Data!A14</f>
        <v>December 2024</v>
      </c>
      <c r="C16" s="70">
        <f>Data!G14</f>
        <v>62074</v>
      </c>
      <c r="D16" s="70">
        <f>'Index Ideal'!G14</f>
        <v>76964.701113837771</v>
      </c>
      <c r="E16" s="70">
        <f t="shared" si="0"/>
        <v>-14890.701113837771</v>
      </c>
      <c r="F16" s="70">
        <f t="shared" si="1"/>
        <v>221732979.66164944</v>
      </c>
      <c r="G16" s="70">
        <f t="shared" si="2"/>
        <v>14890.701113837771</v>
      </c>
      <c r="H16" s="67">
        <f>E16/Regresi!$B$38</f>
        <v>-0.99926213439899803</v>
      </c>
      <c r="I16" s="70">
        <f t="shared" si="3"/>
        <v>89585257.01160033</v>
      </c>
      <c r="K16" s="77">
        <f>Data!D14</f>
        <v>22</v>
      </c>
      <c r="L16" s="77">
        <f>Data!E14</f>
        <v>3014</v>
      </c>
      <c r="M16" s="77">
        <f>Data!F14</f>
        <v>699</v>
      </c>
      <c r="N16" s="77">
        <f>Data!E14</f>
        <v>3014</v>
      </c>
      <c r="O16" s="77">
        <f>Data!D14</f>
        <v>22</v>
      </c>
      <c r="P16" s="77">
        <f>Data!F14</f>
        <v>699</v>
      </c>
    </row>
    <row r="17" spans="1:16" ht="15" customHeight="1" x14ac:dyDescent="0.35">
      <c r="A17" s="63">
        <f>Data!C15</f>
        <v>13</v>
      </c>
      <c r="B17" s="60" t="str">
        <f>Data!B15&amp;" "&amp;Data!A15</f>
        <v>Januari 2025</v>
      </c>
      <c r="C17" s="70">
        <f>Data!G15</f>
        <v>89619</v>
      </c>
      <c r="D17" s="70">
        <f>'Index Ideal'!G15</f>
        <v>72001.263698425042</v>
      </c>
      <c r="E17" s="70">
        <f t="shared" si="0"/>
        <v>17617.736301574958</v>
      </c>
      <c r="F17" s="70">
        <f t="shared" si="1"/>
        <v>310384632.39183205</v>
      </c>
      <c r="G17" s="70">
        <f t="shared" si="2"/>
        <v>17617.736301574958</v>
      </c>
      <c r="H17" s="67">
        <f>E17/Regresi!$B$38</f>
        <v>1.1822637930480389</v>
      </c>
      <c r="I17" s="70">
        <f t="shared" si="3"/>
        <v>1056798503.1918062</v>
      </c>
      <c r="K17" s="77">
        <f>Data!D15</f>
        <v>18</v>
      </c>
      <c r="L17" s="77">
        <f>Data!E15</f>
        <v>2617</v>
      </c>
      <c r="M17" s="77">
        <f>Data!F15</f>
        <v>694</v>
      </c>
      <c r="N17" s="77">
        <f>Data!E15</f>
        <v>2617</v>
      </c>
      <c r="O17" s="77">
        <f>Data!D15</f>
        <v>18</v>
      </c>
      <c r="P17" s="77">
        <f>Data!F15</f>
        <v>694</v>
      </c>
    </row>
    <row r="18" spans="1:16" ht="15" customHeight="1" x14ac:dyDescent="0.35">
      <c r="A18" s="63">
        <f>Data!C16</f>
        <v>14</v>
      </c>
      <c r="B18" s="60" t="str">
        <f>Data!B16&amp;" "&amp;Data!A16</f>
        <v>Februari 2025</v>
      </c>
      <c r="C18" s="70">
        <f>Data!G16</f>
        <v>75216</v>
      </c>
      <c r="D18" s="70">
        <f>'Index Ideal'!G16</f>
        <v>62640.219148900214</v>
      </c>
      <c r="E18" s="70">
        <f t="shared" si="0"/>
        <v>12575.780851099786</v>
      </c>
      <c r="F18" s="70">
        <f t="shared" si="1"/>
        <v>158150264.01488805</v>
      </c>
      <c r="G18" s="70">
        <f t="shared" si="2"/>
        <v>12575.780851099786</v>
      </c>
      <c r="H18" s="67">
        <f>E18/Regresi!$B$38</f>
        <v>0.84391604659407893</v>
      </c>
      <c r="I18" s="70">
        <f t="shared" si="3"/>
        <v>25421314.764576297</v>
      </c>
      <c r="K18" s="77">
        <f>Data!D16</f>
        <v>20</v>
      </c>
      <c r="L18" s="77">
        <f>Data!E16</f>
        <v>2443</v>
      </c>
      <c r="M18" s="77">
        <f>Data!F16</f>
        <v>706</v>
      </c>
      <c r="N18" s="77">
        <f>Data!E16</f>
        <v>2443</v>
      </c>
      <c r="O18" s="77">
        <f>Data!D16</f>
        <v>20</v>
      </c>
      <c r="P18" s="77">
        <f>Data!F16</f>
        <v>706</v>
      </c>
    </row>
    <row r="19" spans="1:16" ht="15" customHeight="1" x14ac:dyDescent="0.35">
      <c r="A19" s="63">
        <f>Data!C17</f>
        <v>15</v>
      </c>
      <c r="B19" s="60" t="str">
        <f>Data!B17&amp;" "&amp;Data!A17</f>
        <v>Maret 2025</v>
      </c>
      <c r="C19" s="70">
        <f>Data!G17</f>
        <v>78847</v>
      </c>
      <c r="D19" s="70">
        <f>'Index Ideal'!G17</f>
        <v>78594.45337738411</v>
      </c>
      <c r="E19" s="70">
        <f t="shared" si="0"/>
        <v>252.54662261588965</v>
      </c>
      <c r="F19" s="70">
        <f t="shared" si="1"/>
        <v>63779.796594692583</v>
      </c>
      <c r="G19" s="70">
        <f t="shared" si="2"/>
        <v>252.54662261588965</v>
      </c>
      <c r="H19" s="67">
        <f>E19/Regresi!$B$38</f>
        <v>1.6947508060308619E-2</v>
      </c>
      <c r="I19" s="70">
        <f t="shared" si="3"/>
        <v>151862101.85007709</v>
      </c>
      <c r="K19" s="77">
        <f>Data!D17</f>
        <v>20</v>
      </c>
      <c r="L19" s="77">
        <f>Data!E17</f>
        <v>3004</v>
      </c>
      <c r="M19" s="77">
        <f>Data!F17</f>
        <v>706</v>
      </c>
      <c r="N19" s="77">
        <f>Data!E17</f>
        <v>3004</v>
      </c>
      <c r="O19" s="77">
        <f>Data!D17</f>
        <v>20</v>
      </c>
      <c r="P19" s="77">
        <f>Data!F17</f>
        <v>706</v>
      </c>
    </row>
    <row r="20" spans="1:16" ht="15" customHeight="1" x14ac:dyDescent="0.35">
      <c r="A20" s="63">
        <f>Data!C18</f>
        <v>16</v>
      </c>
      <c r="B20" s="60" t="str">
        <f>Data!B18&amp;" "&amp;Data!A18</f>
        <v>April 2025</v>
      </c>
      <c r="C20" s="70">
        <f>Data!G18</f>
        <v>92254</v>
      </c>
      <c r="D20" s="70">
        <f>'Index Ideal'!G18</f>
        <v>77889.553771640116</v>
      </c>
      <c r="E20" s="70">
        <f t="shared" si="0"/>
        <v>14364.446228359884</v>
      </c>
      <c r="F20" s="70">
        <f t="shared" si="1"/>
        <v>206337315.4474425</v>
      </c>
      <c r="G20" s="70">
        <f t="shared" si="2"/>
        <v>14364.446228359884</v>
      </c>
      <c r="H20" s="67">
        <f>E20/Regresi!$B$38</f>
        <v>0.96394703566185047</v>
      </c>
      <c r="I20" s="70">
        <f t="shared" si="3"/>
        <v>199145710.4825975</v>
      </c>
      <c r="K20" s="77">
        <f>Data!D18</f>
        <v>19</v>
      </c>
      <c r="L20" s="77">
        <f>Data!E18</f>
        <v>2934</v>
      </c>
      <c r="M20" s="77">
        <f>Data!F18</f>
        <v>707</v>
      </c>
      <c r="N20" s="77">
        <f>Data!E18</f>
        <v>2934</v>
      </c>
      <c r="O20" s="77">
        <f>Data!D18</f>
        <v>19</v>
      </c>
      <c r="P20" s="77">
        <f>Data!F18</f>
        <v>707</v>
      </c>
    </row>
    <row r="21" spans="1:16" ht="15" customHeight="1" x14ac:dyDescent="0.35">
      <c r="A21" s="63">
        <f>Data!C19</f>
        <v>17</v>
      </c>
      <c r="B21" s="60" t="str">
        <f>Data!B19&amp;" "&amp;Data!A19</f>
        <v>Mei 2025</v>
      </c>
      <c r="C21" s="70">
        <f>Data!G19</f>
        <v>68708</v>
      </c>
      <c r="D21" s="70">
        <f>'Index Ideal'!G19</f>
        <v>74552.960965304024</v>
      </c>
      <c r="E21" s="70">
        <f t="shared" si="0"/>
        <v>-5844.9609653040243</v>
      </c>
      <c r="F21" s="70">
        <f t="shared" si="1"/>
        <v>34163568.685927749</v>
      </c>
      <c r="G21" s="70">
        <f t="shared" si="2"/>
        <v>5844.9609653040243</v>
      </c>
      <c r="H21" s="67">
        <f>E21/Regresi!$B$38</f>
        <v>-0.39223459829174023</v>
      </c>
      <c r="I21" s="70">
        <f t="shared" si="3"/>
        <v>408420139.11931455</v>
      </c>
      <c r="K21" s="77">
        <f>Data!D19</f>
        <v>17</v>
      </c>
      <c r="L21" s="77">
        <f>Data!E19</f>
        <v>2717</v>
      </c>
      <c r="M21" s="77">
        <f>Data!F19</f>
        <v>707</v>
      </c>
      <c r="N21" s="77">
        <f>Data!E19</f>
        <v>2717</v>
      </c>
      <c r="O21" s="77">
        <f>Data!D19</f>
        <v>17</v>
      </c>
      <c r="P21" s="77">
        <f>Data!F19</f>
        <v>707</v>
      </c>
    </row>
    <row r="22" spans="1:16" ht="15" customHeight="1" x14ac:dyDescent="0.35">
      <c r="A22" s="63">
        <f>Data!C20</f>
        <v>18</v>
      </c>
      <c r="B22" s="60" t="str">
        <f>Data!B20&amp;" "&amp;Data!A20</f>
        <v>Juni 2025</v>
      </c>
      <c r="C22" s="70">
        <f>Data!G20</f>
        <v>91078</v>
      </c>
      <c r="D22" s="70">
        <f>'Index Ideal'!G20</f>
        <v>78497.464066646993</v>
      </c>
      <c r="E22" s="70">
        <f t="shared" si="0"/>
        <v>12580.535933353007</v>
      </c>
      <c r="F22" s="70">
        <f t="shared" si="1"/>
        <v>158269884.37038621</v>
      </c>
      <c r="G22" s="70">
        <f t="shared" si="2"/>
        <v>12580.535933353007</v>
      </c>
      <c r="H22" s="67">
        <f>E22/Regresi!$B$38</f>
        <v>0.84423514329780502</v>
      </c>
      <c r="I22" s="70">
        <f t="shared" si="3"/>
        <v>339498935.96241987</v>
      </c>
      <c r="K22" s="77">
        <f>Data!D20</f>
        <v>19</v>
      </c>
      <c r="L22" s="77">
        <f>Data!E20</f>
        <v>2960</v>
      </c>
      <c r="M22" s="77">
        <f>Data!F20</f>
        <v>708</v>
      </c>
      <c r="N22" s="77">
        <f>Data!E20</f>
        <v>2960</v>
      </c>
      <c r="O22" s="77">
        <f>Data!D20</f>
        <v>19</v>
      </c>
      <c r="P22" s="77">
        <f>Data!F20</f>
        <v>708</v>
      </c>
    </row>
    <row r="23" spans="1:16" ht="15" customHeight="1" x14ac:dyDescent="0.35">
      <c r="A23" s="63">
        <f>Data!C21</f>
        <v>19</v>
      </c>
      <c r="B23" s="60" t="str">
        <f>Data!B21&amp;" "&amp;Data!A21</f>
        <v>Juli 2025</v>
      </c>
      <c r="C23" s="70">
        <f>Data!G21</f>
        <v>73434</v>
      </c>
      <c r="D23" s="70">
        <f>'Index Ideal'!G21</f>
        <v>63548.142100096535</v>
      </c>
      <c r="E23" s="70">
        <f t="shared" si="0"/>
        <v>9885.8578999034653</v>
      </c>
      <c r="F23" s="70">
        <f t="shared" si="1"/>
        <v>97730186.417083755</v>
      </c>
      <c r="G23" s="70">
        <f t="shared" si="2"/>
        <v>9885.8578999034653</v>
      </c>
      <c r="H23" s="67">
        <f>E23/Regresi!$B$38</f>
        <v>0.66340485850210829</v>
      </c>
      <c r="I23" s="70">
        <f t="shared" si="3"/>
        <v>7261289.7039554883</v>
      </c>
      <c r="K23" s="77">
        <f>Data!D21</f>
        <v>19</v>
      </c>
      <c r="L23" s="77">
        <f>Data!E21</f>
        <v>2832</v>
      </c>
      <c r="M23" s="77">
        <f>Data!F21</f>
        <v>794</v>
      </c>
      <c r="N23" s="77">
        <f>Data!E21</f>
        <v>2832</v>
      </c>
      <c r="O23" s="77">
        <f>Data!D21</f>
        <v>19</v>
      </c>
      <c r="P23" s="77">
        <f>Data!F21</f>
        <v>794</v>
      </c>
    </row>
    <row r="24" spans="1:16" ht="15" customHeight="1" x14ac:dyDescent="0.35">
      <c r="A24" s="63">
        <f>Data!C22</f>
        <v>20</v>
      </c>
      <c r="B24" s="60" t="str">
        <f>Data!B22&amp;" "&amp;Data!A22</f>
        <v>Agustus 2025</v>
      </c>
      <c r="C24" s="70">
        <f>Data!G22</f>
        <v>60522</v>
      </c>
      <c r="D24" s="70">
        <f>'Index Ideal'!G22</f>
        <v>75009.532269214236</v>
      </c>
      <c r="E24" s="70">
        <f t="shared" si="0"/>
        <v>-14487.532269214236</v>
      </c>
      <c r="F24" s="70">
        <f t="shared" si="1"/>
        <v>209888591.25152379</v>
      </c>
      <c r="G24" s="70">
        <f t="shared" si="2"/>
        <v>14487.532269214236</v>
      </c>
      <c r="H24" s="67">
        <f>E24/Regresi!$B$38</f>
        <v>-0.97220690327711978</v>
      </c>
      <c r="I24" s="70">
        <f t="shared" si="3"/>
        <v>594062148.33604348</v>
      </c>
      <c r="K24" s="77">
        <f>Data!D22</f>
        <v>23</v>
      </c>
      <c r="L24" s="77">
        <f>Data!E22</f>
        <v>3402</v>
      </c>
      <c r="M24" s="77">
        <f>Data!F22</f>
        <v>787</v>
      </c>
      <c r="N24" s="77">
        <f>Data!E22</f>
        <v>3402</v>
      </c>
      <c r="O24" s="77">
        <f>Data!D22</f>
        <v>23</v>
      </c>
      <c r="P24" s="77">
        <f>Data!F22</f>
        <v>787</v>
      </c>
    </row>
    <row r="25" spans="1:16" ht="15" customHeight="1" x14ac:dyDescent="0.35">
      <c r="A25" s="63">
        <f>Data!C23</f>
        <v>21</v>
      </c>
      <c r="B25" s="60" t="str">
        <f>Data!B23&amp;" "&amp;Data!A23</f>
        <v>September 2025</v>
      </c>
      <c r="C25" s="70">
        <f>Data!G23</f>
        <v>44904</v>
      </c>
      <c r="D25" s="70">
        <f>'Index Ideal'!G23</f>
        <v>60794.711978430394</v>
      </c>
      <c r="E25" s="70">
        <f t="shared" si="0"/>
        <v>-15890.711978430394</v>
      </c>
      <c r="F25" s="70">
        <f t="shared" si="1"/>
        <v>252514727.1814312</v>
      </c>
      <c r="G25" s="70">
        <f t="shared" si="2"/>
        <v>15890.711978430394</v>
      </c>
      <c r="H25" s="67">
        <f>E25/Regresi!$B$38</f>
        <v>-1.066369316481002</v>
      </c>
      <c r="I25" s="70">
        <f t="shared" si="3"/>
        <v>1968913.2963559411</v>
      </c>
      <c r="K25" s="77">
        <f>Data!D23</f>
        <v>21</v>
      </c>
      <c r="L25" s="77">
        <f>Data!E23</f>
        <v>2747</v>
      </c>
      <c r="M25" s="77">
        <f>Data!F23</f>
        <v>775</v>
      </c>
      <c r="N25" s="77">
        <f>Data!E23</f>
        <v>2747</v>
      </c>
      <c r="O25" s="77">
        <f>Data!D23</f>
        <v>21</v>
      </c>
      <c r="P25" s="77">
        <f>Data!F23</f>
        <v>775</v>
      </c>
    </row>
    <row r="26" spans="1:16" ht="15" customHeight="1" x14ac:dyDescent="0.35">
      <c r="A26" s="63">
        <f>Data!C24</f>
        <v>22</v>
      </c>
      <c r="B26" s="60" t="str">
        <f>Data!B24&amp;" "&amp;Data!A24</f>
        <v>Oktober 2025</v>
      </c>
      <c r="C26" s="70">
        <f>Data!G24</f>
        <v>45540</v>
      </c>
      <c r="D26" s="70">
        <f>'Index Ideal'!G24</f>
        <v>52518.986202158034</v>
      </c>
      <c r="E26" s="70">
        <f t="shared" si="0"/>
        <v>-6978.9862021580338</v>
      </c>
      <c r="F26" s="70">
        <f t="shared" si="1"/>
        <v>48706248.409912214</v>
      </c>
      <c r="G26" s="70">
        <f t="shared" si="2"/>
        <v>6978.9862021580338</v>
      </c>
      <c r="H26" s="67">
        <f>E26/Regresi!$B$38</f>
        <v>-0.46833500954692331</v>
      </c>
      <c r="I26" s="70">
        <f t="shared" si="3"/>
        <v>79418856.311477199</v>
      </c>
      <c r="K26" s="77">
        <f>Data!D24</f>
        <v>21</v>
      </c>
      <c r="L26" s="77">
        <f>Data!E24</f>
        <v>2456</v>
      </c>
      <c r="M26" s="77">
        <f>Data!F24</f>
        <v>775</v>
      </c>
      <c r="N26" s="77">
        <f>Data!E24</f>
        <v>2456</v>
      </c>
      <c r="O26" s="77">
        <f>Data!D24</f>
        <v>21</v>
      </c>
      <c r="P26" s="77">
        <f>Data!F24</f>
        <v>775</v>
      </c>
    </row>
    <row r="27" spans="1:16" ht="15" customHeight="1" x14ac:dyDescent="0.35">
      <c r="A27" s="63">
        <f>Data!C25</f>
        <v>23</v>
      </c>
      <c r="B27" s="60" t="str">
        <f>Data!B25&amp;" "&amp;Data!A25</f>
        <v>November 2025</v>
      </c>
      <c r="C27" s="70">
        <f>Data!G25</f>
        <v>38491</v>
      </c>
      <c r="D27" s="70">
        <f>'Index Ideal'!G25</f>
        <v>56823.800666576659</v>
      </c>
      <c r="E27" s="70">
        <f t="shared" si="0"/>
        <v>-18332.800666576659</v>
      </c>
      <c r="F27" s="70">
        <f t="shared" si="1"/>
        <v>336091580.2804336</v>
      </c>
      <c r="G27" s="70">
        <f t="shared" si="2"/>
        <v>18332.800666576659</v>
      </c>
      <c r="H27" s="67">
        <f>E27/Regresi!$B$38</f>
        <v>-1.2302492262483771</v>
      </c>
      <c r="I27" s="70">
        <f t="shared" si="3"/>
        <v>128909102.89244159</v>
      </c>
      <c r="K27" s="77">
        <f>Data!D25</f>
        <v>22</v>
      </c>
      <c r="L27" s="77">
        <f>Data!E25</f>
        <v>2463</v>
      </c>
      <c r="M27" s="77">
        <f>Data!F25</f>
        <v>733</v>
      </c>
      <c r="N27" s="77">
        <f>Data!E25</f>
        <v>2463</v>
      </c>
      <c r="O27" s="77">
        <f>Data!D25</f>
        <v>22</v>
      </c>
      <c r="P27" s="77">
        <f>Data!F25</f>
        <v>733</v>
      </c>
    </row>
    <row r="28" spans="1:16" ht="15" customHeight="1" x14ac:dyDescent="0.35">
      <c r="A28" s="63">
        <f>Data!C26</f>
        <v>24</v>
      </c>
      <c r="B28" s="60" t="str">
        <f>Data!B26&amp;" "&amp;Data!A26</f>
        <v>December 2025</v>
      </c>
      <c r="C28" s="70">
        <f>Data!G26</f>
        <v>29413</v>
      </c>
      <c r="D28" s="70">
        <f>'Index Ideal'!G26</f>
        <v>44125.709296740504</v>
      </c>
      <c r="E28" s="70">
        <f t="shared" si="0"/>
        <v>-14712.709296740504</v>
      </c>
      <c r="F28" s="70">
        <f t="shared" si="1"/>
        <v>216463814.85039446</v>
      </c>
      <c r="G28" s="70">
        <f t="shared" si="2"/>
        <v>14712.709296740504</v>
      </c>
      <c r="H28" s="67">
        <f>E28/Regresi!$B$38</f>
        <v>-0.98731773489097974</v>
      </c>
      <c r="I28" s="70">
        <f t="shared" si="3"/>
        <v>13105061.525962206</v>
      </c>
      <c r="K28" s="77">
        <f>Data!D26</f>
        <v>22</v>
      </c>
      <c r="L28" s="77">
        <f>Data!E26</f>
        <v>1998</v>
      </c>
      <c r="M28" s="77">
        <f>Data!F26</f>
        <v>729</v>
      </c>
      <c r="N28" s="77">
        <f>Data!E26</f>
        <v>1998</v>
      </c>
      <c r="O28" s="77">
        <f>Data!D26</f>
        <v>22</v>
      </c>
      <c r="P28" s="77">
        <f>Data!F26</f>
        <v>729</v>
      </c>
    </row>
    <row r="29" spans="1:16" ht="15" customHeight="1" x14ac:dyDescent="0.35">
      <c r="A29" s="63">
        <f>Data!C27</f>
        <v>25</v>
      </c>
      <c r="B29" s="60" t="str">
        <f>Data!B27&amp;" "&amp;Data!A27</f>
        <v>Januari 2026</v>
      </c>
      <c r="C29" s="70">
        <f>Data!G27</f>
        <v>62983</v>
      </c>
      <c r="D29" s="70">
        <f>'Index Ideal'!G27</f>
        <v>60678.614676520141</v>
      </c>
      <c r="E29" s="70">
        <f t="shared" si="0"/>
        <v>2304.3853234798589</v>
      </c>
      <c r="F29" s="70">
        <f t="shared" si="1"/>
        <v>5310191.7190693738</v>
      </c>
      <c r="G29" s="70">
        <f t="shared" si="2"/>
        <v>2304.3853234798589</v>
      </c>
      <c r="H29" s="67">
        <f>E29/Regresi!$B$38</f>
        <v>0.15463912539875968</v>
      </c>
      <c r="I29" s="70">
        <f t="shared" si="3"/>
        <v>289581509.31353283</v>
      </c>
      <c r="K29" s="77">
        <f>Data!D27</f>
        <v>20</v>
      </c>
      <c r="L29" s="77">
        <f>Data!E27</f>
        <v>2485</v>
      </c>
      <c r="M29" s="77">
        <f>Data!F27</f>
        <v>730</v>
      </c>
      <c r="N29" s="77">
        <f>Data!E27</f>
        <v>2485</v>
      </c>
      <c r="O29" s="77">
        <f>Data!D27</f>
        <v>20</v>
      </c>
      <c r="P29" s="77">
        <f>Data!F27</f>
        <v>730</v>
      </c>
    </row>
    <row r="30" spans="1:16" ht="15" customHeight="1" x14ac:dyDescent="0.35">
      <c r="A30" s="63">
        <f>Data!C28</f>
        <v>26</v>
      </c>
      <c r="B30" s="60" t="str">
        <f>Data!B28&amp;" "&amp;Data!A28</f>
        <v>Februari 2026</v>
      </c>
      <c r="C30" s="70">
        <f>Data!G28</f>
        <v>54317</v>
      </c>
      <c r="D30" s="70">
        <f>'Index Ideal'!G28</f>
        <v>55133.025238811824</v>
      </c>
      <c r="E30" s="70">
        <f t="shared" si="0"/>
        <v>-816.02523881182424</v>
      </c>
      <c r="F30" s="70">
        <f t="shared" si="1"/>
        <v>665897.19037789479</v>
      </c>
      <c r="G30" s="70">
        <f t="shared" si="2"/>
        <v>816.02523881182424</v>
      </c>
      <c r="H30" s="67">
        <f>E30/Regresi!$B$38</f>
        <v>-5.4760559333286968E-2</v>
      </c>
      <c r="I30" s="70">
        <f t="shared" si="3"/>
        <v>9736962.0772614982</v>
      </c>
      <c r="K30" s="77">
        <f>Data!D28</f>
        <v>20</v>
      </c>
      <c r="L30" s="77">
        <f>Data!E28</f>
        <v>2290</v>
      </c>
      <c r="M30" s="77">
        <f>Data!F28</f>
        <v>730</v>
      </c>
      <c r="N30" s="77">
        <f>Data!E28</f>
        <v>2290</v>
      </c>
      <c r="O30" s="77">
        <f>Data!D28</f>
        <v>20</v>
      </c>
      <c r="P30" s="77">
        <f>Data!F28</f>
        <v>730</v>
      </c>
    </row>
    <row r="31" spans="1:16" ht="15" customHeight="1" x14ac:dyDescent="0.35">
      <c r="A31" s="63">
        <f>Data!C29</f>
        <v>27</v>
      </c>
      <c r="B31" s="60" t="str">
        <f>Data!B29&amp;" "&amp;Data!A29</f>
        <v>Maret 2026</v>
      </c>
      <c r="C31" s="70">
        <f>Data!G29</f>
        <v>62758</v>
      </c>
      <c r="D31" s="70">
        <f>'Index Ideal'!G29</f>
        <v>53222.998014000099</v>
      </c>
      <c r="E31" s="70">
        <f t="shared" si="0"/>
        <v>9535.0019859999011</v>
      </c>
      <c r="F31" s="70">
        <f t="shared" si="1"/>
        <v>90916262.873022065</v>
      </c>
      <c r="G31" s="70">
        <f t="shared" si="2"/>
        <v>9535.0019859999011</v>
      </c>
      <c r="H31" s="67">
        <f>E31/Regresi!$B$38</f>
        <v>0.63986016260676326</v>
      </c>
      <c r="I31" s="70">
        <f t="shared" si="3"/>
        <v>107143764.60879353</v>
      </c>
      <c r="K31" s="77">
        <f>Data!D29</f>
        <v>19</v>
      </c>
      <c r="L31" s="77">
        <f>Data!E29</f>
        <v>2173</v>
      </c>
      <c r="M31" s="77">
        <f>Data!F29</f>
        <v>730</v>
      </c>
      <c r="N31" s="77">
        <f>Data!E29</f>
        <v>2173</v>
      </c>
      <c r="O31" s="77">
        <f>Data!D29</f>
        <v>19</v>
      </c>
      <c r="P31" s="77">
        <f>Data!F29</f>
        <v>730</v>
      </c>
    </row>
    <row r="32" spans="1:16" ht="15" customHeight="1" x14ac:dyDescent="0.35">
      <c r="A32" s="63">
        <f>Data!C30</f>
        <v>28</v>
      </c>
      <c r="B32" s="60" t="str">
        <f>Data!B30&amp;" "&amp;Data!A30</f>
        <v>April 2026</v>
      </c>
      <c r="C32" s="70">
        <f>Data!G30</f>
        <v>48410</v>
      </c>
      <c r="D32" s="70">
        <f>'Index Ideal'!G30</f>
        <v>87624.852304273838</v>
      </c>
      <c r="E32" s="70">
        <f t="shared" si="0"/>
        <v>-39214.852304273838</v>
      </c>
      <c r="F32" s="70">
        <f t="shared" si="1"/>
        <v>1537804641.246011</v>
      </c>
      <c r="G32" s="70">
        <f t="shared" si="2"/>
        <v>39214.852304273838</v>
      </c>
      <c r="H32" s="67">
        <f>E32/Regresi!$B$38</f>
        <v>-2.6315696429696707</v>
      </c>
      <c r="I32" s="70">
        <f t="shared" si="3"/>
        <v>2376548293.3229208</v>
      </c>
      <c r="K32" s="77">
        <f>Data!D30</f>
        <v>17</v>
      </c>
      <c r="L32" s="77">
        <f>Data!E30</f>
        <v>3283</v>
      </c>
      <c r="M32" s="77">
        <f>Data!F30</f>
        <v>730</v>
      </c>
      <c r="N32" s="77">
        <f>Data!E30</f>
        <v>3283</v>
      </c>
      <c r="O32" s="77">
        <f>Data!D30</f>
        <v>17</v>
      </c>
      <c r="P32" s="77">
        <f>Data!F30</f>
        <v>730</v>
      </c>
    </row>
    <row r="33" spans="1:16" ht="15" customHeight="1" x14ac:dyDescent="0.35">
      <c r="A33" s="63">
        <f>Data!C31</f>
        <v>29</v>
      </c>
      <c r="B33" s="60" t="str">
        <f>Data!B31&amp;" "&amp;Data!A31</f>
        <v>Mei 2026</v>
      </c>
      <c r="C33" s="70">
        <f>Data!G31</f>
        <v>88003</v>
      </c>
      <c r="D33" s="70">
        <f>'Index Ideal'!G31</f>
        <v>74169.654377374449</v>
      </c>
      <c r="E33" s="70">
        <f t="shared" si="0"/>
        <v>13833.345622625551</v>
      </c>
      <c r="F33" s="70">
        <f t="shared" si="1"/>
        <v>191361451.11501351</v>
      </c>
      <c r="G33" s="70">
        <f t="shared" si="2"/>
        <v>13833.345622625551</v>
      </c>
      <c r="H33" s="67">
        <f>E33/Regresi!$B$38</f>
        <v>0.92830675782607364</v>
      </c>
      <c r="I33" s="70">
        <f t="shared" si="3"/>
        <v>2814111303.2914925</v>
      </c>
      <c r="K33" s="77">
        <f>Data!D31</f>
        <v>21</v>
      </c>
      <c r="L33" s="77">
        <f>Data!E31</f>
        <v>2889</v>
      </c>
      <c r="M33" s="77">
        <f>Data!F31</f>
        <v>704</v>
      </c>
      <c r="N33" s="77">
        <f>Data!E31</f>
        <v>2889</v>
      </c>
      <c r="O33" s="77">
        <f>Data!D31</f>
        <v>21</v>
      </c>
      <c r="P33" s="77">
        <f>Data!F31</f>
        <v>704</v>
      </c>
    </row>
    <row r="34" spans="1:16" ht="15" customHeight="1" x14ac:dyDescent="0.35">
      <c r="A34" s="63">
        <f>Data!C32</f>
        <v>30</v>
      </c>
      <c r="B34" s="60" t="str">
        <f>Data!B32&amp;" "&amp;Data!A32</f>
        <v>Juni 2026</v>
      </c>
      <c r="C34" s="70">
        <f>Data!G32</f>
        <v>84449</v>
      </c>
      <c r="D34" s="70">
        <f>'Index Ideal'!G32</f>
        <v>97279.050951419675</v>
      </c>
      <c r="E34" s="70">
        <f t="shared" si="0"/>
        <v>-12830.050951419675</v>
      </c>
      <c r="F34" s="70">
        <f t="shared" si="1"/>
        <v>164610207.41602489</v>
      </c>
      <c r="G34" s="70">
        <f t="shared" si="2"/>
        <v>12830.050951419675</v>
      </c>
      <c r="H34" s="67">
        <f>E34/Regresi!$B$38</f>
        <v>-0.86097921112992359</v>
      </c>
      <c r="I34" s="70">
        <f t="shared" si="3"/>
        <v>710936716.86480665</v>
      </c>
      <c r="K34" s="77">
        <f>Data!D32</f>
        <v>20</v>
      </c>
      <c r="L34" s="77">
        <f>Data!E32</f>
        <v>3698</v>
      </c>
      <c r="M34" s="77">
        <f>Data!F32</f>
        <v>714</v>
      </c>
      <c r="N34" s="77">
        <f>Data!E32</f>
        <v>3698</v>
      </c>
      <c r="O34" s="77">
        <f>Data!D32</f>
        <v>20</v>
      </c>
      <c r="P34" s="77">
        <f>Data!F32</f>
        <v>714</v>
      </c>
    </row>
    <row r="35" spans="1:16" ht="15" customHeight="1" x14ac:dyDescent="0.35">
      <c r="A35" s="52" t="s">
        <v>200</v>
      </c>
      <c r="E35" s="71">
        <f>SUM(E5:E34)</f>
        <v>-5.3842086344957352E-10</v>
      </c>
      <c r="F35" s="71">
        <f>SUM(F5:F34)</f>
        <v>5773574571.9482727</v>
      </c>
      <c r="I35" s="71">
        <f>SUM(I6:I34)</f>
        <v>11063165607.792061</v>
      </c>
    </row>
    <row r="37" spans="1:16" ht="15" customHeight="1" x14ac:dyDescent="0.35">
      <c r="A37" s="65" t="s">
        <v>201</v>
      </c>
      <c r="B37" s="66">
        <f>SKEW(E5:E34)</f>
        <v>-0.63120471466866446</v>
      </c>
    </row>
    <row r="38" spans="1:16" ht="15" customHeight="1" x14ac:dyDescent="0.35">
      <c r="A38" s="65" t="s">
        <v>202</v>
      </c>
      <c r="B38" s="66">
        <f>KURT(E5:E34)</f>
        <v>0.22181508487806001</v>
      </c>
    </row>
    <row r="39" spans="1:16" ht="15" customHeight="1" x14ac:dyDescent="0.35">
      <c r="A39" s="65" t="s">
        <v>149</v>
      </c>
      <c r="B39" s="72">
        <f>COUNT(E5:E34)</f>
        <v>30</v>
      </c>
    </row>
    <row r="40" spans="1:16" ht="15" customHeight="1" x14ac:dyDescent="0.35">
      <c r="A40" s="65" t="s">
        <v>203</v>
      </c>
      <c r="B40" s="66">
        <f>B39/6*(B37^2+B38^2/4)</f>
        <v>2.0535993739490768</v>
      </c>
    </row>
    <row r="41" spans="1:16" ht="15" customHeight="1" x14ac:dyDescent="0.35">
      <c r="A41" s="65" t="s">
        <v>204</v>
      </c>
      <c r="B41" s="66">
        <f>CHIINV(0.05,2)</f>
        <v>5.9914645471079817</v>
      </c>
    </row>
    <row r="42" spans="1:16" ht="15" customHeight="1" x14ac:dyDescent="0.35">
      <c r="A42" s="65" t="s">
        <v>35</v>
      </c>
      <c r="B42" s="66">
        <f>CHIDIST(B40,2)</f>
        <v>0.35815132478036776</v>
      </c>
    </row>
    <row r="43" spans="1:16" s="102" customFormat="1" ht="43" customHeight="1" x14ac:dyDescent="0.35">
      <c r="A43" s="103" t="s">
        <v>36</v>
      </c>
      <c r="B43" s="101" t="str">
        <f>IF(B42&gt;0.05,"Residual BERDISTRIBUSI NORMAL (asumsi terpenuhi)","Residual tidak normal (asumsi tidak terpenuhi)")</f>
        <v>Residual BERDISTRIBUSI NORMAL (asumsi terpenuhi)</v>
      </c>
      <c r="K43" s="49"/>
      <c r="L43" s="49"/>
      <c r="M43" s="49"/>
      <c r="N43" s="49"/>
      <c r="O43" s="49"/>
      <c r="P43" s="49"/>
    </row>
    <row r="44" spans="1:16" ht="15" customHeight="1" x14ac:dyDescent="0.35">
      <c r="A44" s="65" t="s">
        <v>205</v>
      </c>
      <c r="B44" s="66">
        <f>AVERAGE(E5:E34)</f>
        <v>-1.7947362114985785E-11</v>
      </c>
    </row>
    <row r="45" spans="1:16" ht="15" customHeight="1" x14ac:dyDescent="0.35">
      <c r="A45" s="51" t="s">
        <v>206</v>
      </c>
    </row>
    <row r="47" spans="1:16" ht="15" customHeight="1" x14ac:dyDescent="0.35">
      <c r="A47" s="56" t="s">
        <v>207</v>
      </c>
    </row>
    <row r="48" spans="1:16" ht="15" customHeight="1" x14ac:dyDescent="0.35">
      <c r="A48" s="65" t="s">
        <v>208</v>
      </c>
      <c r="B48" s="70">
        <f>I35</f>
        <v>11063165607.792061</v>
      </c>
    </row>
    <row r="49" spans="1:9" ht="15" customHeight="1" x14ac:dyDescent="0.35">
      <c r="A49" s="65" t="s">
        <v>209</v>
      </c>
      <c r="B49" s="70">
        <f>F35</f>
        <v>5773574571.9482727</v>
      </c>
    </row>
    <row r="50" spans="1:9" ht="15" customHeight="1" x14ac:dyDescent="0.35">
      <c r="A50" s="65" t="s">
        <v>210</v>
      </c>
      <c r="B50" s="66">
        <f>B48/B49</f>
        <v>1.9161726361938778</v>
      </c>
      <c r="C50" s="120" t="s">
        <v>211</v>
      </c>
      <c r="D50" s="120"/>
      <c r="E50" s="120"/>
      <c r="F50" s="120"/>
      <c r="G50" s="120"/>
      <c r="H50" s="120"/>
      <c r="I50" s="120"/>
    </row>
    <row r="51" spans="1:9" ht="15" customHeight="1" x14ac:dyDescent="0.35">
      <c r="A51" s="65" t="s">
        <v>212</v>
      </c>
      <c r="B51" s="74">
        <v>1.2138</v>
      </c>
      <c r="C51" s="120"/>
      <c r="D51" s="120"/>
      <c r="E51" s="120"/>
      <c r="F51" s="120"/>
      <c r="G51" s="120"/>
      <c r="H51" s="120"/>
      <c r="I51" s="120"/>
    </row>
    <row r="52" spans="1:9" ht="15" customHeight="1" x14ac:dyDescent="0.35">
      <c r="A52" s="65" t="s">
        <v>213</v>
      </c>
      <c r="B52" s="74">
        <v>1.6497999999999999</v>
      </c>
      <c r="C52" s="120"/>
      <c r="D52" s="120"/>
      <c r="E52" s="120"/>
      <c r="F52" s="120"/>
      <c r="G52" s="120"/>
      <c r="H52" s="120"/>
      <c r="I52" s="120"/>
    </row>
    <row r="53" spans="1:9" ht="15" customHeight="1" x14ac:dyDescent="0.35">
      <c r="A53" s="65" t="s">
        <v>214</v>
      </c>
      <c r="B53" s="66">
        <f>4-B52</f>
        <v>2.3502000000000001</v>
      </c>
    </row>
    <row r="54" spans="1:9" ht="15" customHeight="1" x14ac:dyDescent="0.35">
      <c r="A54" s="65" t="s">
        <v>215</v>
      </c>
      <c r="B54" s="66">
        <f>4-B51</f>
        <v>2.7862</v>
      </c>
    </row>
    <row r="55" spans="1:9" ht="15" customHeight="1" x14ac:dyDescent="0.35">
      <c r="A55" s="65" t="s">
        <v>36</v>
      </c>
      <c r="B55" s="73" t="str">
        <f>IF(B50&lt;B51,"Ada autokorelasi POSITIF",IF(B50&lt;B52,"Daerah ragu-ragu (inconclusive)",IF(B50&lt;=B53,"TIDAK ADA AUTOKORELASI (asumsi terpenuhi)",IF(B50&lt;=B54,"Daerah ragu-ragu (inconclusive)","Ada autokorelasi NEGATIF"))))</f>
        <v>TIDAK ADA AUTOKORELASI (asumsi terpenuhi)</v>
      </c>
    </row>
    <row r="56" spans="1:9" ht="15" customHeight="1" x14ac:dyDescent="0.35">
      <c r="A56" s="65" t="s">
        <v>216</v>
      </c>
      <c r="B56" s="66">
        <f>CORREL(E5:E33,E6:E34)</f>
        <v>8.3233874301543408E-4</v>
      </c>
    </row>
    <row r="57" spans="1:9" ht="15" customHeight="1" x14ac:dyDescent="0.35">
      <c r="A57" s="56" t="s">
        <v>217</v>
      </c>
    </row>
    <row r="58" spans="1:9" ht="15" customHeight="1" x14ac:dyDescent="0.35">
      <c r="A58" s="104" t="s">
        <v>31</v>
      </c>
      <c r="B58" s="104" t="s">
        <v>159</v>
      </c>
      <c r="C58" s="104" t="s">
        <v>48</v>
      </c>
      <c r="D58" s="104" t="s">
        <v>34</v>
      </c>
      <c r="E58" s="104" t="s">
        <v>35</v>
      </c>
      <c r="F58" s="121" t="s">
        <v>36</v>
      </c>
      <c r="G58" s="122"/>
      <c r="H58" s="122"/>
    </row>
    <row r="59" spans="1:9" ht="15" customHeight="1" x14ac:dyDescent="0.35">
      <c r="A59" s="107" t="s">
        <v>218</v>
      </c>
      <c r="B59" s="105">
        <f>INDEX(LINEST($G$5:$G$34,Data!$D$3:$F$32,TRUE(),TRUE()),1,4)</f>
        <v>3030.5160391598874</v>
      </c>
      <c r="C59" s="105">
        <f>INDEX(LINEST($G$5:$G$34,Data!$D$3:$F$32,TRUE(),TRUE()),2,4)</f>
        <v>30775.639381820645</v>
      </c>
      <c r="D59" s="105">
        <f>B59/C59</f>
        <v>9.8471261687256173E-2</v>
      </c>
      <c r="E59" s="106">
        <f>TDIST(ABS(D59),Regresi!$B$7,2)</f>
        <v>0.92231334960113487</v>
      </c>
      <c r="F59" s="119" t="str">
        <f>IF(E59&gt;0.05,"Tidak signifikan → tidak ada gejala heteroskedastisitas","Signifikan → ada gejala heteroskedastisitas")</f>
        <v>Tidak signifikan → tidak ada gejala heteroskedastisitas</v>
      </c>
      <c r="G59" s="119"/>
      <c r="H59" s="119"/>
    </row>
    <row r="60" spans="1:9" ht="15" customHeight="1" x14ac:dyDescent="0.35">
      <c r="A60" s="107" t="s">
        <v>38</v>
      </c>
      <c r="B60" s="105">
        <f>INDEX(LINEST($G$5:$G$34,Data!$D$3:$F$32,TRUE(),TRUE()),1,3)</f>
        <v>-1098.0099689995343</v>
      </c>
      <c r="C60" s="105">
        <f>INDEX(LINEST($G$5:$G$34,Data!$D$3:$F$32,TRUE(),TRUE()),2,3)</f>
        <v>829.4658453561741</v>
      </c>
      <c r="D60" s="105">
        <f>B60/C60</f>
        <v>-1.3237554929438318</v>
      </c>
      <c r="E60" s="106">
        <f>TDIST(ABS(D60),Regresi!$B$7,2)</f>
        <v>0.19710605007844539</v>
      </c>
      <c r="F60" s="119" t="str">
        <f t="shared" ref="F60:F62" si="4">IF(E60&gt;0.05,"Tidak signifikan → tidak ada gejala heteroskedastisitas","Signifikan → ada gejala heteroskedastisitas")</f>
        <v>Tidak signifikan → tidak ada gejala heteroskedastisitas</v>
      </c>
      <c r="G60" s="119"/>
      <c r="H60" s="119"/>
    </row>
    <row r="61" spans="1:9" ht="15" customHeight="1" x14ac:dyDescent="0.35">
      <c r="A61" s="107" t="s">
        <v>39</v>
      </c>
      <c r="B61" s="105">
        <f>INDEX(LINEST($G$5:$G$34,Data!$D$3:$F$32,TRUE(),TRUE()),1,2)</f>
        <v>5.899410473503079</v>
      </c>
      <c r="C61" s="105">
        <f>INDEX(LINEST($G$5:$G$34,Data!$D$3:$F$32,TRUE(),TRUE()),2,2)</f>
        <v>3.4763658312443693</v>
      </c>
      <c r="D61" s="105">
        <f>B61/C61</f>
        <v>1.6970050794082792</v>
      </c>
      <c r="E61" s="106">
        <f>TDIST(ABS(D61),Regresi!$B$7,2)</f>
        <v>0.10163703187406553</v>
      </c>
      <c r="F61" s="119" t="str">
        <f t="shared" si="4"/>
        <v>Tidak signifikan → tidak ada gejala heteroskedastisitas</v>
      </c>
      <c r="G61" s="119"/>
      <c r="H61" s="119"/>
    </row>
    <row r="62" spans="1:9" ht="15" customHeight="1" x14ac:dyDescent="0.35">
      <c r="A62" s="107" t="s">
        <v>40</v>
      </c>
      <c r="B62" s="105">
        <f>INDEX(LINEST($G$5:$G$34,Data!$D$3:$F$32,TRUE(),TRUE()),1,1)</f>
        <v>19.363347073553864</v>
      </c>
      <c r="C62" s="105">
        <f>INDEX(LINEST($G$5:$G$34,Data!$D$3:$F$32,TRUE(),TRUE()),2,1)</f>
        <v>32.715051288947656</v>
      </c>
      <c r="D62" s="105">
        <f>B62/C62</f>
        <v>0.59187885424760167</v>
      </c>
      <c r="E62" s="106">
        <f>TDIST(ABS(D62),Regresi!$B$7,2)</f>
        <v>0.55904379373352864</v>
      </c>
      <c r="F62" s="119" t="str">
        <f t="shared" si="4"/>
        <v>Tidak signifikan → tidak ada gejala heteroskedastisitas</v>
      </c>
      <c r="G62" s="119"/>
      <c r="H62" s="119"/>
    </row>
    <row r="63" spans="1:9" ht="15" customHeight="1" x14ac:dyDescent="0.35">
      <c r="A63" s="109" t="s">
        <v>219</v>
      </c>
      <c r="B63" s="106">
        <f>CORREL(G5:G34,D5:D34)</f>
        <v>0.21118312514179205</v>
      </c>
      <c r="C63" s="108"/>
      <c r="D63" s="108"/>
      <c r="E63" s="108"/>
      <c r="F63" s="108"/>
      <c r="G63" s="108"/>
      <c r="H63" s="108"/>
    </row>
    <row r="64" spans="1:9" ht="15" customHeight="1" x14ac:dyDescent="0.35">
      <c r="A64" s="109" t="s">
        <v>220</v>
      </c>
      <c r="B64" s="110" t="str">
        <f>IF(AND(E60&gt;0.05,E61&gt;0.05,E62&gt;0.05),"Asumsi homoskedastisitas TERPENUHI (semua P-Value &gt; 0,05)","Ada minimal satu variabel signifikan → indikasi heteroskedastisitas")</f>
        <v>Asumsi homoskedastisitas TERPENUHI (semua P-Value &gt; 0,05)</v>
      </c>
      <c r="C64" s="108"/>
      <c r="D64" s="108"/>
      <c r="E64" s="108"/>
      <c r="F64" s="108"/>
      <c r="G64" s="108"/>
      <c r="H64" s="108"/>
    </row>
    <row r="65" spans="1:8" ht="15" customHeight="1" x14ac:dyDescent="0.35">
      <c r="A65" s="111" t="s">
        <v>221</v>
      </c>
      <c r="B65" s="108"/>
      <c r="C65" s="108"/>
      <c r="D65" s="108"/>
      <c r="E65" s="108"/>
      <c r="F65" s="108"/>
      <c r="G65" s="108"/>
      <c r="H65" s="108"/>
    </row>
    <row r="68" spans="1:8" ht="15" customHeight="1" x14ac:dyDescent="0.35">
      <c r="A68" s="56" t="s">
        <v>222</v>
      </c>
    </row>
    <row r="69" spans="1:8" ht="28.5" customHeight="1" x14ac:dyDescent="0.35">
      <c r="A69" s="9" t="s">
        <v>31</v>
      </c>
      <c r="B69" s="9" t="s">
        <v>223</v>
      </c>
      <c r="C69" s="9" t="s">
        <v>224</v>
      </c>
      <c r="D69" s="9" t="s">
        <v>225</v>
      </c>
      <c r="E69" s="9" t="s">
        <v>36</v>
      </c>
    </row>
    <row r="70" spans="1:8" ht="15" customHeight="1" x14ac:dyDescent="0.35">
      <c r="A70" s="60" t="s">
        <v>38</v>
      </c>
      <c r="B70" s="61">
        <f>INDEX(LINEST($K$5:$K$34,$L$5:$M$34,TRUE(),TRUE()),3,1)</f>
        <v>8.5643830947540633E-2</v>
      </c>
      <c r="C70" s="61">
        <f>1-B70</f>
        <v>0.91435616905245931</v>
      </c>
      <c r="D70" s="61">
        <f>1/C70</f>
        <v>1.0936657222275787</v>
      </c>
      <c r="E70" s="60" t="str">
        <f>IF(D70&lt;10,"Aman — tidak ada multikolinearitas (VIF &lt; 10)","Terjadi multikolinearitas (VIF ≥ 10)")</f>
        <v>Aman — tidak ada multikolinearitas (VIF &lt; 10)</v>
      </c>
    </row>
    <row r="71" spans="1:8" ht="15" customHeight="1" x14ac:dyDescent="0.35">
      <c r="A71" s="60" t="s">
        <v>39</v>
      </c>
      <c r="B71" s="61">
        <f>INDEX(LINEST($N$5:$N$34,$O$5:$P$34,TRUE(),TRUE()),3,1)</f>
        <v>0.12603788690913864</v>
      </c>
      <c r="C71" s="61">
        <f>1-B71</f>
        <v>0.87396211309086136</v>
      </c>
      <c r="D71" s="61">
        <f>1/C71</f>
        <v>1.144214360120706</v>
      </c>
      <c r="E71" s="60" t="str">
        <f>IF(D71&lt;10,"Aman — tidak ada multikolinearitas (VIF &lt; 10)","Terjadi multikolinearitas (VIF ≥ 10)")</f>
        <v>Aman — tidak ada multikolinearitas (VIF &lt; 10)</v>
      </c>
    </row>
    <row r="72" spans="1:8" ht="15" customHeight="1" x14ac:dyDescent="0.35">
      <c r="A72" s="60" t="s">
        <v>40</v>
      </c>
      <c r="B72" s="61">
        <f>INDEX(LINEST($M$5:$M$34,$K$5:$L$34,TRUE(),TRUE()),3,1)</f>
        <v>4.6349066992975162E-2</v>
      </c>
      <c r="C72" s="61">
        <f>1-B72</f>
        <v>0.95365093300702486</v>
      </c>
      <c r="D72" s="61">
        <f>1/C72</f>
        <v>1.0486017109497587</v>
      </c>
      <c r="E72" s="60" t="str">
        <f>IF(D72&lt;10,"Aman — tidak ada multikolinearitas (VIF &lt; 10)","Terjadi multikolinearitas (VIF ≥ 10)")</f>
        <v>Aman — tidak ada multikolinearitas (VIF &lt; 10)</v>
      </c>
    </row>
    <row r="74" spans="1:8" ht="15" customHeight="1" x14ac:dyDescent="0.35">
      <c r="A74" s="51" t="s">
        <v>226</v>
      </c>
    </row>
    <row r="76" spans="1:8" ht="15" customHeight="1" x14ac:dyDescent="0.35">
      <c r="A76" s="56" t="s">
        <v>227</v>
      </c>
    </row>
    <row r="77" spans="1:8" ht="15" customHeight="1" x14ac:dyDescent="0.35">
      <c r="A77" s="9" t="s">
        <v>84</v>
      </c>
      <c r="B77" s="9" t="s">
        <v>85</v>
      </c>
      <c r="C77" s="9" t="s">
        <v>228</v>
      </c>
      <c r="D77" s="9" t="s">
        <v>87</v>
      </c>
      <c r="E77" s="9" t="s">
        <v>88</v>
      </c>
    </row>
    <row r="78" spans="1:8" ht="15" customHeight="1" x14ac:dyDescent="0.35">
      <c r="A78" s="60" t="s">
        <v>229</v>
      </c>
      <c r="B78" s="63" t="s">
        <v>230</v>
      </c>
      <c r="C78" s="62">
        <f>B40</f>
        <v>2.0535993739490768</v>
      </c>
      <c r="D78" s="61">
        <f>B42</f>
        <v>0.35815132478036776</v>
      </c>
      <c r="E78" s="112" t="str">
        <f>IF(B42&gt;0.05,"TERPENUHI","TIDAK TERPENUHI")</f>
        <v>TERPENUHI</v>
      </c>
    </row>
    <row r="79" spans="1:8" ht="15" customHeight="1" x14ac:dyDescent="0.35">
      <c r="A79" s="60" t="s">
        <v>231</v>
      </c>
      <c r="B79" s="63" t="s">
        <v>232</v>
      </c>
      <c r="C79" s="62">
        <f>B50</f>
        <v>1.9161726361938778</v>
      </c>
      <c r="D79" s="63" t="str">
        <f>"dU "&amp;TEXT(B52,"0.000")&amp;" – 4-dU "&amp;TEXT(B53,"0.000")</f>
        <v>dU 0.002 – 4-dU 0.002</v>
      </c>
      <c r="E79" s="112" t="str">
        <f>IF(AND(B50&gt;B52,B50&lt;B53),"TERPENUHI",IF(OR(B50&lt;B51,B50&gt;B54),"TIDAK TERPENUHI","RAGU-RAGU"))</f>
        <v>TERPENUHI</v>
      </c>
    </row>
    <row r="80" spans="1:8" ht="15" customHeight="1" x14ac:dyDescent="0.35">
      <c r="A80" s="60" t="s">
        <v>233</v>
      </c>
      <c r="B80" s="63" t="s">
        <v>234</v>
      </c>
      <c r="C80" s="62">
        <f>MIN(E60:E62)</f>
        <v>0.10163703187406553</v>
      </c>
      <c r="D80" s="61" t="s">
        <v>235</v>
      </c>
      <c r="E80" s="112" t="str">
        <f>IF(MIN(E60:E62)&gt;0.05,"TERPENUHI","TIDAK TERPENUHI")</f>
        <v>TERPENUHI</v>
      </c>
    </row>
    <row r="81" spans="1:5" ht="15" customHeight="1" x14ac:dyDescent="0.35">
      <c r="A81" s="60" t="s">
        <v>236</v>
      </c>
      <c r="B81" s="63" t="s">
        <v>237</v>
      </c>
      <c r="C81" s="62">
        <f>MAX(D70:D72)</f>
        <v>1.144214360120706</v>
      </c>
      <c r="D81" s="63" t="s">
        <v>238</v>
      </c>
      <c r="E81" s="112" t="str">
        <f>IF(MAX(D70:D72)&lt;10,"TERPENUHI","TIDAK TERPENUHI")</f>
        <v>TERPENUHI</v>
      </c>
    </row>
    <row r="82" spans="1:5" ht="15" customHeight="1" x14ac:dyDescent="0.35">
      <c r="A82" s="60" t="s">
        <v>239</v>
      </c>
      <c r="B82" s="63" t="s">
        <v>240</v>
      </c>
      <c r="C82" s="62">
        <f>Regresi!E28</f>
        <v>8.6890147757780447</v>
      </c>
      <c r="D82" s="61">
        <f>Regresi!G28</f>
        <v>3.6769476625170006E-4</v>
      </c>
      <c r="E82" s="112" t="str">
        <f>IF(Regresi!G28&lt;0.05,"TERPENUHI","TIDAK TERPENUHI")</f>
        <v>TERPENUHI</v>
      </c>
    </row>
    <row r="84" spans="1:5" ht="15" customHeight="1" x14ac:dyDescent="0.35">
      <c r="A84" s="75" t="str">
        <f>IF(AND(B42&gt;0.05,B50&gt;B52,B50&lt;B53,MIN(E60:E62)&gt;0.05,MAX(D70:D72)&lt;10),"KESIMPULAN: seluruh asumsi klasik terpenuhi → estimasi regresi bersifat BLUE dan P-Value hasil uji t maupun uji F valid untuk ditafsirkan.","KESIMPULAN: ada asumsi yang belum terpenuhi — lihat baris berstatus TIDAK TERPENUHI/RAGU-RAGU pada rekap di atas sebelum menafsirkan P-Value.")</f>
        <v>KESIMPULAN: seluruh asumsi klasik terpenuhi → estimasi regresi bersifat BLUE dan P-Value hasil uji t maupun uji F valid untuk ditafsirkan.</v>
      </c>
    </row>
  </sheetData>
  <mergeCells count="6">
    <mergeCell ref="F62:H62"/>
    <mergeCell ref="C50:I52"/>
    <mergeCell ref="F58:H58"/>
    <mergeCell ref="F59:H59"/>
    <mergeCell ref="F60:H60"/>
    <mergeCell ref="F61:H6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"/>
  <sheetViews>
    <sheetView showGridLines="0" zoomScaleNormal="100" workbookViewId="0">
      <pane xSplit="2" ySplit="2" topLeftCell="G25" activePane="bottomRight" state="frozen"/>
      <selection pane="topRight" activeCell="C1" sqref="C1"/>
      <selection pane="bottomLeft" activeCell="A26" sqref="A26"/>
      <selection pane="bottomRight" activeCell="I35" sqref="I35"/>
    </sheetView>
  </sheetViews>
  <sheetFormatPr defaultColWidth="8.6328125" defaultRowHeight="14.5" x14ac:dyDescent="0.35"/>
  <cols>
    <col min="1" max="1" width="6" customWidth="1"/>
    <col min="2" max="2" width="52.90625" customWidth="1"/>
    <col min="3" max="6" width="15" style="76" customWidth="1"/>
    <col min="7" max="7" width="18" style="76" customWidth="1"/>
    <col min="8" max="12" width="15" style="76" customWidth="1"/>
    <col min="13" max="13" width="18" style="49" customWidth="1"/>
    <col min="14" max="14" width="15" style="49" customWidth="1"/>
    <col min="15" max="15" width="22" style="49" customWidth="1"/>
  </cols>
  <sheetData>
    <row r="1" spans="1:15" ht="17.25" customHeight="1" x14ac:dyDescent="0.35">
      <c r="A1" s="32" t="s">
        <v>241</v>
      </c>
      <c r="B1" s="1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5" ht="28.5" customHeight="1" x14ac:dyDescent="0.35">
      <c r="A2" s="9" t="s">
        <v>92</v>
      </c>
      <c r="B2" s="9" t="s">
        <v>188</v>
      </c>
      <c r="C2" s="9" t="s">
        <v>242</v>
      </c>
      <c r="D2" s="9" t="s">
        <v>243</v>
      </c>
      <c r="E2" s="9" t="s">
        <v>244</v>
      </c>
      <c r="F2" s="9" t="s">
        <v>245</v>
      </c>
      <c r="G2" s="9" t="s">
        <v>246</v>
      </c>
      <c r="H2" s="9" t="s">
        <v>247</v>
      </c>
      <c r="I2" s="9" t="s">
        <v>248</v>
      </c>
      <c r="J2" s="9" t="s">
        <v>249</v>
      </c>
      <c r="K2" s="9" t="s">
        <v>250</v>
      </c>
      <c r="L2" s="9" t="s">
        <v>251</v>
      </c>
      <c r="M2" s="9" t="s">
        <v>252</v>
      </c>
      <c r="N2" s="9" t="s">
        <v>253</v>
      </c>
      <c r="O2" s="9" t="s">
        <v>88</v>
      </c>
    </row>
    <row r="3" spans="1:15" ht="15" customHeight="1" x14ac:dyDescent="0.35">
      <c r="A3" s="48">
        <f>Data!C3</f>
        <v>1</v>
      </c>
      <c r="B3" s="7" t="str">
        <f>Data!B3&amp;" "&amp;Data!A3</f>
        <v>Januari 2024</v>
      </c>
      <c r="C3" s="77">
        <f>Data!D3</f>
        <v>20</v>
      </c>
      <c r="D3" s="77">
        <f>Data!E3</f>
        <v>3107</v>
      </c>
      <c r="E3" s="77">
        <f>Data!F3</f>
        <v>845</v>
      </c>
      <c r="F3" s="77">
        <f>Data!G3</f>
        <v>81305</v>
      </c>
      <c r="G3" s="77">
        <f>Regresi!$B$20+Regresi!$B$21*C3+Regresi!$B$22*D3+Regresi!$B$23*E3</f>
        <v>63244.935584395207</v>
      </c>
      <c r="H3" s="77">
        <f t="shared" ref="H3:H32" si="0">F3-G3</f>
        <v>18060.064415604793</v>
      </c>
      <c r="I3" s="78">
        <f t="shared" ref="I3:I32" si="1">IF(G3=0,0,H3/G3*100)</f>
        <v>28.555747980018275</v>
      </c>
      <c r="J3" s="78">
        <f t="shared" ref="J3:J32" si="2">IF(F3=0,0,ABS(H3)/F3*100)</f>
        <v>22.212735275327216</v>
      </c>
      <c r="K3" s="79">
        <f t="shared" ref="K3:K32" si="3">F3/E3</f>
        <v>96.218934911242599</v>
      </c>
      <c r="L3" s="79">
        <f t="shared" ref="L3:L32" si="4">F3/D3</f>
        <v>26.16832957837142</v>
      </c>
      <c r="M3" s="77">
        <f t="shared" ref="M3:M32" si="5">$C$36*D3</f>
        <v>59205.638999814117</v>
      </c>
      <c r="N3" s="77">
        <f t="shared" ref="N3:N32" si="6">MAX(0,F3-M3)</f>
        <v>22099.361000185883</v>
      </c>
      <c r="O3" s="48" t="str">
        <f t="shared" ref="O3:O32" si="7">IF(H3&gt;0,"Over (di atas ideal)",IF(H3&lt;0,"Under (di bawah ideal)","Tepat"))</f>
        <v>Over (di atas ideal)</v>
      </c>
    </row>
    <row r="4" spans="1:15" ht="15" customHeight="1" x14ac:dyDescent="0.35">
      <c r="A4" s="48">
        <f>Data!C4</f>
        <v>2</v>
      </c>
      <c r="B4" s="7" t="str">
        <f>Data!B4&amp;" "&amp;Data!A4</f>
        <v>Februari 2024</v>
      </c>
      <c r="C4" s="77">
        <f>Data!D4</f>
        <v>22</v>
      </c>
      <c r="D4" s="77">
        <f>Data!E4</f>
        <v>2694</v>
      </c>
      <c r="E4" s="77">
        <f>Data!F4</f>
        <v>814</v>
      </c>
      <c r="F4" s="77">
        <f>Data!G4</f>
        <v>67057</v>
      </c>
      <c r="G4" s="77">
        <f>Regresi!$B$20+Regresi!$B$21*C4+Regresi!$B$22*D4+Regresi!$B$23*E4</f>
        <v>52741.559199552707</v>
      </c>
      <c r="H4" s="77">
        <f t="shared" si="0"/>
        <v>14315.440800447293</v>
      </c>
      <c r="I4" s="78">
        <f t="shared" si="1"/>
        <v>27.142619629964791</v>
      </c>
      <c r="J4" s="78">
        <f t="shared" si="2"/>
        <v>21.348167678910919</v>
      </c>
      <c r="K4" s="79">
        <f t="shared" si="3"/>
        <v>82.379606879606882</v>
      </c>
      <c r="L4" s="79">
        <f t="shared" si="4"/>
        <v>24.891239792130662</v>
      </c>
      <c r="M4" s="77">
        <f t="shared" si="5"/>
        <v>51335.690848245649</v>
      </c>
      <c r="N4" s="77">
        <f t="shared" si="6"/>
        <v>15721.309151754351</v>
      </c>
      <c r="O4" s="48" t="str">
        <f t="shared" si="7"/>
        <v>Over (di atas ideal)</v>
      </c>
    </row>
    <row r="5" spans="1:15" ht="15" customHeight="1" x14ac:dyDescent="0.35">
      <c r="A5" s="48">
        <f>Data!C5</f>
        <v>3</v>
      </c>
      <c r="B5" s="7" t="str">
        <f>Data!B5&amp;" "&amp;Data!A5</f>
        <v>Maret 2024</v>
      </c>
      <c r="C5" s="77">
        <f>Data!D5</f>
        <v>19</v>
      </c>
      <c r="D5" s="77">
        <f>Data!E5</f>
        <v>2211</v>
      </c>
      <c r="E5" s="77">
        <f>Data!F5</f>
        <v>798</v>
      </c>
      <c r="F5" s="77">
        <f>Data!G5</f>
        <v>39619</v>
      </c>
      <c r="G5" s="77">
        <f>Regresi!$B$20+Regresi!$B$21*C5+Regresi!$B$22*D5+Regresi!$B$23*E5</f>
        <v>45361.566139926435</v>
      </c>
      <c r="H5" s="77">
        <f t="shared" si="0"/>
        <v>-5742.5661399264354</v>
      </c>
      <c r="I5" s="78">
        <f t="shared" si="1"/>
        <v>-12.659541167984347</v>
      </c>
      <c r="J5" s="78">
        <f t="shared" si="2"/>
        <v>14.494475226347046</v>
      </c>
      <c r="K5" s="79">
        <f t="shared" si="3"/>
        <v>49.647869674185465</v>
      </c>
      <c r="L5" s="79">
        <f t="shared" si="4"/>
        <v>17.919041157847129</v>
      </c>
      <c r="M5" s="77">
        <f t="shared" si="5"/>
        <v>42131.853179462189</v>
      </c>
      <c r="N5" s="77">
        <f t="shared" si="6"/>
        <v>0</v>
      </c>
      <c r="O5" s="48" t="str">
        <f t="shared" si="7"/>
        <v>Under (di bawah ideal)</v>
      </c>
    </row>
    <row r="6" spans="1:15" ht="15" customHeight="1" x14ac:dyDescent="0.35">
      <c r="A6" s="48">
        <f>Data!C6</f>
        <v>4</v>
      </c>
      <c r="B6" s="7" t="str">
        <f>Data!B6&amp;" "&amp;Data!A6</f>
        <v>April 2024</v>
      </c>
      <c r="C6" s="77">
        <f>Data!D6</f>
        <v>19</v>
      </c>
      <c r="D6" s="77">
        <f>Data!E6</f>
        <v>2352</v>
      </c>
      <c r="E6" s="77">
        <f>Data!F6</f>
        <v>789</v>
      </c>
      <c r="F6" s="77">
        <f>Data!G6</f>
        <v>42895</v>
      </c>
      <c r="G6" s="77">
        <f>Regresi!$B$20+Regresi!$B$21*C6+Regresi!$B$22*D6+Regresi!$B$23*E6</f>
        <v>50554.968557380649</v>
      </c>
      <c r="H6" s="77">
        <f t="shared" si="0"/>
        <v>-7659.9685573806491</v>
      </c>
      <c r="I6" s="78">
        <f t="shared" si="1"/>
        <v>-15.15176208385229</v>
      </c>
      <c r="J6" s="78">
        <f t="shared" si="2"/>
        <v>17.857485854716515</v>
      </c>
      <c r="K6" s="79">
        <f t="shared" si="3"/>
        <v>54.366286438529784</v>
      </c>
      <c r="L6" s="79">
        <f t="shared" si="4"/>
        <v>18.23767006802721</v>
      </c>
      <c r="M6" s="77">
        <f t="shared" si="5"/>
        <v>44818.687778423817</v>
      </c>
      <c r="N6" s="77">
        <f t="shared" si="6"/>
        <v>0</v>
      </c>
      <c r="O6" s="48" t="str">
        <f t="shared" si="7"/>
        <v>Under (di bawah ideal)</v>
      </c>
    </row>
    <row r="7" spans="1:15" ht="15" customHeight="1" x14ac:dyDescent="0.35">
      <c r="A7" s="48">
        <f>Data!C7</f>
        <v>5</v>
      </c>
      <c r="B7" s="7" t="str">
        <f>Data!B7&amp;" "&amp;Data!A7</f>
        <v>Mei 2024</v>
      </c>
      <c r="C7" s="77">
        <f>Data!D7</f>
        <v>16</v>
      </c>
      <c r="D7" s="77">
        <f>Data!E7</f>
        <v>2008</v>
      </c>
      <c r="E7" s="77">
        <f>Data!F7</f>
        <v>756</v>
      </c>
      <c r="F7" s="77">
        <f>Data!G7</f>
        <v>36966</v>
      </c>
      <c r="G7" s="77">
        <f>Regresi!$B$20+Regresi!$B$21*C7+Regresi!$B$22*D7+Regresi!$B$23*E7</f>
        <v>49363.51311498908</v>
      </c>
      <c r="H7" s="77">
        <f t="shared" si="0"/>
        <v>-12397.51311498908</v>
      </c>
      <c r="I7" s="78">
        <f t="shared" si="1"/>
        <v>-25.114730157292254</v>
      </c>
      <c r="J7" s="78">
        <f t="shared" si="2"/>
        <v>33.537610547500627</v>
      </c>
      <c r="K7" s="79">
        <f t="shared" si="3"/>
        <v>48.896825396825399</v>
      </c>
      <c r="L7" s="79">
        <f t="shared" si="4"/>
        <v>18.409362549800797</v>
      </c>
      <c r="M7" s="77">
        <f t="shared" si="5"/>
        <v>38263.573579538701</v>
      </c>
      <c r="N7" s="77">
        <f t="shared" si="6"/>
        <v>0</v>
      </c>
      <c r="O7" s="48" t="str">
        <f t="shared" si="7"/>
        <v>Under (di bawah ideal)</v>
      </c>
    </row>
    <row r="8" spans="1:15" ht="15" customHeight="1" x14ac:dyDescent="0.35">
      <c r="A8" s="48">
        <f>Data!C8</f>
        <v>6</v>
      </c>
      <c r="B8" s="7" t="str">
        <f>Data!B8&amp;" "&amp;Data!A8</f>
        <v>Juni 2024</v>
      </c>
      <c r="C8" s="77">
        <f>Data!D8</f>
        <v>20</v>
      </c>
      <c r="D8" s="77">
        <f>Data!E8</f>
        <v>2659</v>
      </c>
      <c r="E8" s="77">
        <f>Data!F8</f>
        <v>790</v>
      </c>
      <c r="F8" s="77">
        <f>Data!G8</f>
        <v>59948</v>
      </c>
      <c r="G8" s="77">
        <f>Regresi!$B$20+Regresi!$B$21*C8+Regresi!$B$22*D8+Regresi!$B$23*E8</f>
        <v>57736.888988912906</v>
      </c>
      <c r="H8" s="77">
        <f t="shared" si="0"/>
        <v>2211.1110110870941</v>
      </c>
      <c r="I8" s="78">
        <f t="shared" si="1"/>
        <v>3.8296330990602714</v>
      </c>
      <c r="J8" s="78">
        <f t="shared" si="2"/>
        <v>3.6883816158789182</v>
      </c>
      <c r="K8" s="79">
        <f t="shared" si="3"/>
        <v>75.883544303797464</v>
      </c>
      <c r="L8" s="79">
        <f t="shared" si="4"/>
        <v>22.545317788642347</v>
      </c>
      <c r="M8" s="77">
        <f t="shared" si="5"/>
        <v>50668.746089638153</v>
      </c>
      <c r="N8" s="77">
        <f t="shared" si="6"/>
        <v>9279.2539103618474</v>
      </c>
      <c r="O8" s="48" t="str">
        <f t="shared" si="7"/>
        <v>Over (di atas ideal)</v>
      </c>
    </row>
    <row r="9" spans="1:15" ht="15" customHeight="1" x14ac:dyDescent="0.35">
      <c r="A9" s="48">
        <f>Data!C9</f>
        <v>7</v>
      </c>
      <c r="B9" s="7" t="str">
        <f>Data!B9&amp;" "&amp;Data!A9</f>
        <v>Juli 2024</v>
      </c>
      <c r="C9" s="77">
        <f>Data!D9</f>
        <v>19</v>
      </c>
      <c r="D9" s="77">
        <f>Data!E9</f>
        <v>2839</v>
      </c>
      <c r="E9" s="77">
        <f>Data!F9</f>
        <v>790</v>
      </c>
      <c r="F9" s="77">
        <f>Data!G9</f>
        <v>82171</v>
      </c>
      <c r="G9" s="77">
        <f>Regresi!$B$20+Regresi!$B$21*C9+Regresi!$B$22*D9+Regresi!$B$23*E9</f>
        <v>64273.221061533826</v>
      </c>
      <c r="H9" s="77">
        <f t="shared" si="0"/>
        <v>17897.778938466174</v>
      </c>
      <c r="I9" s="78">
        <f t="shared" si="1"/>
        <v>27.846401102772205</v>
      </c>
      <c r="J9" s="78">
        <f t="shared" si="2"/>
        <v>21.781138039534838</v>
      </c>
      <c r="K9" s="79">
        <f t="shared" si="3"/>
        <v>104.01392405063291</v>
      </c>
      <c r="L9" s="79">
        <f t="shared" si="4"/>
        <v>28.943642127509687</v>
      </c>
      <c r="M9" s="77">
        <f t="shared" si="5"/>
        <v>54098.747705333852</v>
      </c>
      <c r="N9" s="77">
        <f t="shared" si="6"/>
        <v>28072.252294666148</v>
      </c>
      <c r="O9" s="48" t="str">
        <f t="shared" si="7"/>
        <v>Over (di atas ideal)</v>
      </c>
    </row>
    <row r="10" spans="1:15" ht="15" customHeight="1" x14ac:dyDescent="0.35">
      <c r="A10" s="48">
        <f>Data!C10</f>
        <v>8</v>
      </c>
      <c r="B10" s="7" t="str">
        <f>Data!B10&amp;" "&amp;Data!A10</f>
        <v>Agustus 2024</v>
      </c>
      <c r="C10" s="77">
        <f>Data!D10</f>
        <v>22</v>
      </c>
      <c r="D10" s="77">
        <f>Data!E10</f>
        <v>3374</v>
      </c>
      <c r="E10" s="77">
        <f>Data!F10</f>
        <v>690</v>
      </c>
      <c r="F10" s="77">
        <f>Data!G10</f>
        <v>90534</v>
      </c>
      <c r="G10" s="77">
        <f>Regresi!$B$20+Regresi!$B$21*C10+Regresi!$B$22*D10+Regresi!$B$23*E10</f>
        <v>88386.227053641298</v>
      </c>
      <c r="H10" s="77">
        <f t="shared" si="0"/>
        <v>2147.772946358702</v>
      </c>
      <c r="I10" s="78">
        <f t="shared" si="1"/>
        <v>2.4299860034247485</v>
      </c>
      <c r="J10" s="78">
        <f t="shared" si="2"/>
        <v>2.3723385096855347</v>
      </c>
      <c r="K10" s="79">
        <f t="shared" si="3"/>
        <v>131.2086956521739</v>
      </c>
      <c r="L10" s="79">
        <f t="shared" si="4"/>
        <v>26.832839359810315</v>
      </c>
      <c r="M10" s="77">
        <f t="shared" si="5"/>
        <v>64293.47472976274</v>
      </c>
      <c r="N10" s="77">
        <f t="shared" si="6"/>
        <v>26240.52527023726</v>
      </c>
      <c r="O10" s="48" t="str">
        <f t="shared" si="7"/>
        <v>Over (di atas ideal)</v>
      </c>
    </row>
    <row r="11" spans="1:15" ht="15" customHeight="1" x14ac:dyDescent="0.35">
      <c r="A11" s="48">
        <f>Data!C11</f>
        <v>9</v>
      </c>
      <c r="B11" s="7" t="str">
        <f>Data!B11&amp;" "&amp;Data!A11</f>
        <v>September 2024</v>
      </c>
      <c r="C11" s="77">
        <f>Data!D11</f>
        <v>22</v>
      </c>
      <c r="D11" s="77">
        <f>Data!E11</f>
        <v>3208</v>
      </c>
      <c r="E11" s="77">
        <f>Data!F11</f>
        <v>690</v>
      </c>
      <c r="F11" s="77">
        <f>Data!G11</f>
        <v>100190</v>
      </c>
      <c r="G11" s="77">
        <f>Regresi!$B$20+Regresi!$B$21*C11+Regresi!$B$22*D11+Regresi!$B$23*E11</f>
        <v>83665.366301540882</v>
      </c>
      <c r="H11" s="77">
        <f t="shared" si="0"/>
        <v>16524.633698459118</v>
      </c>
      <c r="I11" s="78">
        <f t="shared" si="1"/>
        <v>19.750865177476406</v>
      </c>
      <c r="J11" s="78">
        <f t="shared" si="2"/>
        <v>16.493296435232178</v>
      </c>
      <c r="K11" s="79">
        <f t="shared" si="3"/>
        <v>145.20289855072463</v>
      </c>
      <c r="L11" s="79">
        <f t="shared" si="4"/>
        <v>31.231296758104737</v>
      </c>
      <c r="M11" s="77">
        <f t="shared" si="5"/>
        <v>61130.25101751004</v>
      </c>
      <c r="N11" s="77">
        <f t="shared" si="6"/>
        <v>39059.74898248996</v>
      </c>
      <c r="O11" s="48" t="str">
        <f t="shared" si="7"/>
        <v>Over (di atas ideal)</v>
      </c>
    </row>
    <row r="12" spans="1:15" ht="15" customHeight="1" x14ac:dyDescent="0.35">
      <c r="A12" s="48">
        <f>Data!C12</f>
        <v>10</v>
      </c>
      <c r="B12" s="7" t="str">
        <f>Data!B12&amp;" "&amp;Data!A12</f>
        <v>Oktober 2024</v>
      </c>
      <c r="C12" s="77">
        <f>Data!D12</f>
        <v>20</v>
      </c>
      <c r="D12" s="77">
        <f>Data!E12</f>
        <v>3023</v>
      </c>
      <c r="E12" s="77">
        <f>Data!F12</f>
        <v>697</v>
      </c>
      <c r="F12" s="77">
        <f>Data!G12</f>
        <v>91437</v>
      </c>
      <c r="G12" s="77">
        <f>Regresi!$B$20+Regresi!$B$21*C12+Regresi!$B$22*D12+Regresi!$B$23*E12</f>
        <v>80318.30753124645</v>
      </c>
      <c r="H12" s="77">
        <f t="shared" si="0"/>
        <v>11118.69246875355</v>
      </c>
      <c r="I12" s="78">
        <f t="shared" si="1"/>
        <v>13.843285311294707</v>
      </c>
      <c r="J12" s="78">
        <f t="shared" si="2"/>
        <v>12.159948892410677</v>
      </c>
      <c r="K12" s="79">
        <f t="shared" si="3"/>
        <v>131.18651362984218</v>
      </c>
      <c r="L12" s="79">
        <f t="shared" si="4"/>
        <v>30.247105524313596</v>
      </c>
      <c r="M12" s="77">
        <f t="shared" si="5"/>
        <v>57604.971579156125</v>
      </c>
      <c r="N12" s="77">
        <f t="shared" si="6"/>
        <v>33832.028420843875</v>
      </c>
      <c r="O12" s="48" t="str">
        <f t="shared" si="7"/>
        <v>Over (di atas ideal)</v>
      </c>
    </row>
    <row r="13" spans="1:15" ht="15" customHeight="1" x14ac:dyDescent="0.35">
      <c r="A13" s="48">
        <f>Data!C13</f>
        <v>11</v>
      </c>
      <c r="B13" s="7" t="str">
        <f>Data!B13&amp;" "&amp;Data!A13</f>
        <v>November 2024</v>
      </c>
      <c r="C13" s="77">
        <f>Data!D13</f>
        <v>23</v>
      </c>
      <c r="D13" s="77">
        <f>Data!E13</f>
        <v>3237</v>
      </c>
      <c r="E13" s="77">
        <f>Data!F13</f>
        <v>700</v>
      </c>
      <c r="F13" s="77">
        <f>Data!G13</f>
        <v>76332</v>
      </c>
      <c r="G13" s="77">
        <f>Regresi!$B$20+Regresi!$B$21*C13+Regresi!$B$22*D13+Regresi!$B$23*E13</f>
        <v>81757.752249126439</v>
      </c>
      <c r="H13" s="77">
        <f t="shared" si="0"/>
        <v>-5425.752249126439</v>
      </c>
      <c r="I13" s="78">
        <f t="shared" si="1"/>
        <v>-6.6363764901381712</v>
      </c>
      <c r="J13" s="78">
        <f t="shared" si="2"/>
        <v>7.1080965376597485</v>
      </c>
      <c r="K13" s="79">
        <f t="shared" si="3"/>
        <v>109.04571428571428</v>
      </c>
      <c r="L13" s="79">
        <f t="shared" si="4"/>
        <v>23.581093605189992</v>
      </c>
      <c r="M13" s="77">
        <f t="shared" si="5"/>
        <v>61682.862388927679</v>
      </c>
      <c r="N13" s="77">
        <f t="shared" si="6"/>
        <v>14649.137611072321</v>
      </c>
      <c r="O13" s="48" t="str">
        <f t="shared" si="7"/>
        <v>Under (di bawah ideal)</v>
      </c>
    </row>
    <row r="14" spans="1:15" ht="15" customHeight="1" x14ac:dyDescent="0.35">
      <c r="A14" s="48">
        <f>Data!C14</f>
        <v>12</v>
      </c>
      <c r="B14" s="7" t="str">
        <f>Data!B14&amp;" "&amp;Data!A14</f>
        <v>December 2024</v>
      </c>
      <c r="C14" s="77">
        <f>Data!D14</f>
        <v>22</v>
      </c>
      <c r="D14" s="77">
        <f>Data!E14</f>
        <v>3014</v>
      </c>
      <c r="E14" s="77">
        <f>Data!F14</f>
        <v>699</v>
      </c>
      <c r="F14" s="77">
        <f>Data!G14</f>
        <v>62074</v>
      </c>
      <c r="G14" s="77">
        <f>Regresi!$B$20+Regresi!$B$21*C14+Regresi!$B$22*D14+Regresi!$B$23*E14</f>
        <v>76964.701113837771</v>
      </c>
      <c r="H14" s="77">
        <f t="shared" si="0"/>
        <v>-14890.701113837771</v>
      </c>
      <c r="I14" s="78">
        <f t="shared" si="1"/>
        <v>-19.347442266829663</v>
      </c>
      <c r="J14" s="78">
        <f t="shared" si="2"/>
        <v>23.988628272445421</v>
      </c>
      <c r="K14" s="79">
        <f t="shared" si="3"/>
        <v>88.804005722460658</v>
      </c>
      <c r="L14" s="79">
        <f t="shared" si="4"/>
        <v>20.595222295952222</v>
      </c>
      <c r="M14" s="77">
        <f t="shared" si="5"/>
        <v>57433.471498371342</v>
      </c>
      <c r="N14" s="77">
        <f t="shared" si="6"/>
        <v>4640.528501628658</v>
      </c>
      <c r="O14" s="48" t="str">
        <f t="shared" si="7"/>
        <v>Under (di bawah ideal)</v>
      </c>
    </row>
    <row r="15" spans="1:15" ht="15" customHeight="1" x14ac:dyDescent="0.35">
      <c r="A15" s="48">
        <f>Data!C15</f>
        <v>13</v>
      </c>
      <c r="B15" s="7" t="str">
        <f>Data!B15&amp;" "&amp;Data!A15</f>
        <v>Januari 2025</v>
      </c>
      <c r="C15" s="77">
        <f>Data!D15</f>
        <v>18</v>
      </c>
      <c r="D15" s="77">
        <f>Data!E15</f>
        <v>2617</v>
      </c>
      <c r="E15" s="77">
        <f>Data!F15</f>
        <v>694</v>
      </c>
      <c r="F15" s="77">
        <f>Data!G15</f>
        <v>89619</v>
      </c>
      <c r="G15" s="77">
        <f>Regresi!$B$20+Regresi!$B$21*C15+Regresi!$B$22*D15+Regresi!$B$23*E15</f>
        <v>72001.263698425042</v>
      </c>
      <c r="H15" s="77">
        <f t="shared" si="0"/>
        <v>17617.736301574958</v>
      </c>
      <c r="I15" s="78">
        <f t="shared" si="1"/>
        <v>24.46864873839753</v>
      </c>
      <c r="J15" s="78">
        <f t="shared" si="2"/>
        <v>19.658483470664656</v>
      </c>
      <c r="K15" s="79">
        <f t="shared" si="3"/>
        <v>129.13400576368875</v>
      </c>
      <c r="L15" s="79">
        <f t="shared" si="4"/>
        <v>34.244936950706915</v>
      </c>
      <c r="M15" s="77">
        <f t="shared" si="5"/>
        <v>49868.412379309157</v>
      </c>
      <c r="N15" s="77">
        <f t="shared" si="6"/>
        <v>39750.587620690843</v>
      </c>
      <c r="O15" s="48" t="str">
        <f t="shared" si="7"/>
        <v>Over (di atas ideal)</v>
      </c>
    </row>
    <row r="16" spans="1:15" ht="15" customHeight="1" x14ac:dyDescent="0.35">
      <c r="A16" s="48">
        <f>Data!C16</f>
        <v>14</v>
      </c>
      <c r="B16" s="7" t="str">
        <f>Data!B16&amp;" "&amp;Data!A16</f>
        <v>Februari 2025</v>
      </c>
      <c r="C16" s="77">
        <f>Data!D16</f>
        <v>20</v>
      </c>
      <c r="D16" s="77">
        <f>Data!E16</f>
        <v>2443</v>
      </c>
      <c r="E16" s="77">
        <f>Data!F16</f>
        <v>706</v>
      </c>
      <c r="F16" s="77">
        <f>Data!G16</f>
        <v>75216</v>
      </c>
      <c r="G16" s="77">
        <f>Regresi!$B$20+Regresi!$B$21*C16+Regresi!$B$22*D16+Regresi!$B$23*E16</f>
        <v>62640.219148900214</v>
      </c>
      <c r="H16" s="77">
        <f t="shared" si="0"/>
        <v>12575.780851099786</v>
      </c>
      <c r="I16" s="78">
        <f t="shared" si="1"/>
        <v>20.076208260393006</v>
      </c>
      <c r="J16" s="78">
        <f t="shared" si="2"/>
        <v>16.719555481679144</v>
      </c>
      <c r="K16" s="79">
        <f t="shared" si="3"/>
        <v>106.53824362606233</v>
      </c>
      <c r="L16" s="79">
        <f t="shared" si="4"/>
        <v>30.7883749488334</v>
      </c>
      <c r="M16" s="77">
        <f t="shared" si="5"/>
        <v>46552.744150803308</v>
      </c>
      <c r="N16" s="77">
        <f t="shared" si="6"/>
        <v>28663.255849196692</v>
      </c>
      <c r="O16" s="48" t="str">
        <f t="shared" si="7"/>
        <v>Over (di atas ideal)</v>
      </c>
    </row>
    <row r="17" spans="1:15" ht="15" customHeight="1" x14ac:dyDescent="0.35">
      <c r="A17" s="48">
        <f>Data!C17</f>
        <v>15</v>
      </c>
      <c r="B17" s="7" t="str">
        <f>Data!B17&amp;" "&amp;Data!A17</f>
        <v>Maret 2025</v>
      </c>
      <c r="C17" s="77">
        <f>Data!D17</f>
        <v>20</v>
      </c>
      <c r="D17" s="77">
        <f>Data!E17</f>
        <v>3004</v>
      </c>
      <c r="E17" s="77">
        <f>Data!F17</f>
        <v>706</v>
      </c>
      <c r="F17" s="77">
        <f>Data!G17</f>
        <v>78847</v>
      </c>
      <c r="G17" s="77">
        <f>Regresi!$B$20+Regresi!$B$21*C17+Regresi!$B$22*D17+Regresi!$B$23*E17</f>
        <v>78594.45337738411</v>
      </c>
      <c r="H17" s="77">
        <f t="shared" si="0"/>
        <v>252.54662261588965</v>
      </c>
      <c r="I17" s="78">
        <f t="shared" si="1"/>
        <v>0.32132881108447409</v>
      </c>
      <c r="J17" s="78">
        <f t="shared" si="2"/>
        <v>0.32029959620009596</v>
      </c>
      <c r="K17" s="79">
        <f t="shared" si="3"/>
        <v>111.6813031161473</v>
      </c>
      <c r="L17" s="79">
        <f t="shared" si="4"/>
        <v>26.247336884154461</v>
      </c>
      <c r="M17" s="77">
        <f t="shared" si="5"/>
        <v>57242.91585305491</v>
      </c>
      <c r="N17" s="77">
        <f t="shared" si="6"/>
        <v>21604.08414694509</v>
      </c>
      <c r="O17" s="48" t="str">
        <f t="shared" si="7"/>
        <v>Over (di atas ideal)</v>
      </c>
    </row>
    <row r="18" spans="1:15" ht="15" customHeight="1" x14ac:dyDescent="0.35">
      <c r="A18" s="48">
        <f>Data!C18</f>
        <v>16</v>
      </c>
      <c r="B18" s="7" t="str">
        <f>Data!B18&amp;" "&amp;Data!A18</f>
        <v>April 2025</v>
      </c>
      <c r="C18" s="77">
        <f>Data!D18</f>
        <v>19</v>
      </c>
      <c r="D18" s="77">
        <f>Data!E18</f>
        <v>2934</v>
      </c>
      <c r="E18" s="77">
        <f>Data!F18</f>
        <v>707</v>
      </c>
      <c r="F18" s="77">
        <f>Data!G18</f>
        <v>92254</v>
      </c>
      <c r="G18" s="77">
        <f>Regresi!$B$20+Regresi!$B$21*C18+Regresi!$B$22*D18+Regresi!$B$23*E18</f>
        <v>77889.553771640116</v>
      </c>
      <c r="H18" s="77">
        <f t="shared" si="0"/>
        <v>14364.446228359884</v>
      </c>
      <c r="I18" s="78">
        <f t="shared" si="1"/>
        <v>18.442070255626543</v>
      </c>
      <c r="J18" s="78">
        <f t="shared" si="2"/>
        <v>15.570540278318429</v>
      </c>
      <c r="K18" s="79">
        <f t="shared" si="3"/>
        <v>130.48656294200848</v>
      </c>
      <c r="L18" s="79">
        <f t="shared" si="4"/>
        <v>31.443081117927743</v>
      </c>
      <c r="M18" s="77">
        <f t="shared" si="5"/>
        <v>55909.026335839917</v>
      </c>
      <c r="N18" s="77">
        <f t="shared" si="6"/>
        <v>36344.973664160083</v>
      </c>
      <c r="O18" s="48" t="str">
        <f t="shared" si="7"/>
        <v>Over (di atas ideal)</v>
      </c>
    </row>
    <row r="19" spans="1:15" ht="15" customHeight="1" x14ac:dyDescent="0.35">
      <c r="A19" s="48">
        <f>Data!C19</f>
        <v>17</v>
      </c>
      <c r="B19" s="7" t="str">
        <f>Data!B19&amp;" "&amp;Data!A19</f>
        <v>Mei 2025</v>
      </c>
      <c r="C19" s="77">
        <f>Data!D19</f>
        <v>17</v>
      </c>
      <c r="D19" s="77">
        <f>Data!E19</f>
        <v>2717</v>
      </c>
      <c r="E19" s="77">
        <f>Data!F19</f>
        <v>707</v>
      </c>
      <c r="F19" s="77">
        <f>Data!G19</f>
        <v>68708</v>
      </c>
      <c r="G19" s="77">
        <f>Regresi!$B$20+Regresi!$B$21*C19+Regresi!$B$22*D19+Regresi!$B$23*E19</f>
        <v>74552.960965304024</v>
      </c>
      <c r="H19" s="77">
        <f t="shared" si="0"/>
        <v>-5844.9609653040243</v>
      </c>
      <c r="I19" s="78">
        <f t="shared" si="1"/>
        <v>-7.8400118380599171</v>
      </c>
      <c r="J19" s="78">
        <f t="shared" si="2"/>
        <v>8.506958382290307</v>
      </c>
      <c r="K19" s="79">
        <f t="shared" si="3"/>
        <v>97.182461103253189</v>
      </c>
      <c r="L19" s="79">
        <f t="shared" si="4"/>
        <v>25.288185498711815</v>
      </c>
      <c r="M19" s="77">
        <f t="shared" si="5"/>
        <v>51773.968832473431</v>
      </c>
      <c r="N19" s="77">
        <f t="shared" si="6"/>
        <v>16934.031167526569</v>
      </c>
      <c r="O19" s="48" t="str">
        <f t="shared" si="7"/>
        <v>Under (di bawah ideal)</v>
      </c>
    </row>
    <row r="20" spans="1:15" ht="15" customHeight="1" x14ac:dyDescent="0.35">
      <c r="A20" s="48">
        <f>Data!C20</f>
        <v>18</v>
      </c>
      <c r="B20" s="7" t="str">
        <f>Data!B20&amp;" "&amp;Data!A20</f>
        <v>Juni 2025</v>
      </c>
      <c r="C20" s="77">
        <f>Data!D20</f>
        <v>19</v>
      </c>
      <c r="D20" s="77">
        <f>Data!E20</f>
        <v>2960</v>
      </c>
      <c r="E20" s="77">
        <f>Data!F20</f>
        <v>708</v>
      </c>
      <c r="F20" s="77">
        <f>Data!G20</f>
        <v>91078</v>
      </c>
      <c r="G20" s="77">
        <f>Regresi!$B$20+Regresi!$B$21*C20+Regresi!$B$22*D20+Regresi!$B$23*E20</f>
        <v>78497.464066646993</v>
      </c>
      <c r="H20" s="77">
        <f t="shared" si="0"/>
        <v>12580.535933353007</v>
      </c>
      <c r="I20" s="78">
        <f t="shared" si="1"/>
        <v>16.026678164624155</v>
      </c>
      <c r="J20" s="78">
        <f t="shared" si="2"/>
        <v>13.812925111830527</v>
      </c>
      <c r="K20" s="79">
        <f t="shared" si="3"/>
        <v>128.64124293785312</v>
      </c>
      <c r="L20" s="79">
        <f t="shared" si="4"/>
        <v>30.769594594594594</v>
      </c>
      <c r="M20" s="77">
        <f t="shared" si="5"/>
        <v>56404.471013662631</v>
      </c>
      <c r="N20" s="77">
        <f t="shared" si="6"/>
        <v>34673.528986337369</v>
      </c>
      <c r="O20" s="48" t="str">
        <f t="shared" si="7"/>
        <v>Over (di atas ideal)</v>
      </c>
    </row>
    <row r="21" spans="1:15" ht="15" customHeight="1" x14ac:dyDescent="0.35">
      <c r="A21" s="48">
        <f>Data!C21</f>
        <v>19</v>
      </c>
      <c r="B21" s="7" t="str">
        <f>Data!B21&amp;" "&amp;Data!A21</f>
        <v>Juli 2025</v>
      </c>
      <c r="C21" s="77">
        <f>Data!D21</f>
        <v>19</v>
      </c>
      <c r="D21" s="77">
        <f>Data!E21</f>
        <v>2832</v>
      </c>
      <c r="E21" s="77">
        <f>Data!F21</f>
        <v>794</v>
      </c>
      <c r="F21" s="77">
        <f>Data!G21</f>
        <v>73434</v>
      </c>
      <c r="G21" s="77">
        <f>Regresi!$B$20+Regresi!$B$21*C21+Regresi!$B$22*D21+Regresi!$B$23*E21</f>
        <v>63548.142100096535</v>
      </c>
      <c r="H21" s="77">
        <f t="shared" si="0"/>
        <v>9885.8578999034653</v>
      </c>
      <c r="I21" s="78">
        <f t="shared" si="1"/>
        <v>15.55648611147744</v>
      </c>
      <c r="J21" s="78">
        <f t="shared" si="2"/>
        <v>13.462235340446476</v>
      </c>
      <c r="K21" s="79">
        <f t="shared" si="3"/>
        <v>92.486146095717885</v>
      </c>
      <c r="L21" s="79">
        <f t="shared" si="4"/>
        <v>25.930084745762713</v>
      </c>
      <c r="M21" s="77">
        <f t="shared" si="5"/>
        <v>53965.358753612352</v>
      </c>
      <c r="N21" s="77">
        <f t="shared" si="6"/>
        <v>19468.641246387648</v>
      </c>
      <c r="O21" s="48" t="str">
        <f t="shared" si="7"/>
        <v>Over (di atas ideal)</v>
      </c>
    </row>
    <row r="22" spans="1:15" ht="15" customHeight="1" x14ac:dyDescent="0.35">
      <c r="A22" s="48">
        <f>Data!C22</f>
        <v>20</v>
      </c>
      <c r="B22" s="7" t="str">
        <f>Data!B22&amp;" "&amp;Data!A22</f>
        <v>Agustus 2025</v>
      </c>
      <c r="C22" s="77">
        <f>Data!D22</f>
        <v>23</v>
      </c>
      <c r="D22" s="77">
        <f>Data!E22</f>
        <v>3402</v>
      </c>
      <c r="E22" s="77">
        <f>Data!F22</f>
        <v>787</v>
      </c>
      <c r="F22" s="77">
        <f>Data!G22</f>
        <v>60522</v>
      </c>
      <c r="G22" s="77">
        <f>Regresi!$B$20+Regresi!$B$21*C22+Regresi!$B$22*D22+Regresi!$B$23*E22</f>
        <v>75009.532269214236</v>
      </c>
      <c r="H22" s="77">
        <f t="shared" si="0"/>
        <v>-14487.532269214236</v>
      </c>
      <c r="I22" s="78">
        <f t="shared" si="1"/>
        <v>-19.314254909919331</v>
      </c>
      <c r="J22" s="78">
        <f t="shared" si="2"/>
        <v>23.937629736648223</v>
      </c>
      <c r="K22" s="79">
        <f t="shared" si="3"/>
        <v>76.902160101651845</v>
      </c>
      <c r="L22" s="79">
        <f t="shared" si="4"/>
        <v>17.790123456790123</v>
      </c>
      <c r="M22" s="77">
        <f t="shared" si="5"/>
        <v>64827.030536648737</v>
      </c>
      <c r="N22" s="77">
        <f t="shared" si="6"/>
        <v>0</v>
      </c>
      <c r="O22" s="48" t="str">
        <f t="shared" si="7"/>
        <v>Under (di bawah ideal)</v>
      </c>
    </row>
    <row r="23" spans="1:15" ht="15" customHeight="1" x14ac:dyDescent="0.35">
      <c r="A23" s="48">
        <f>Data!C23</f>
        <v>21</v>
      </c>
      <c r="B23" s="7" t="str">
        <f>Data!B23&amp;" "&amp;Data!A23</f>
        <v>September 2025</v>
      </c>
      <c r="C23" s="77">
        <f>Data!D23</f>
        <v>21</v>
      </c>
      <c r="D23" s="77">
        <f>Data!E23</f>
        <v>2747</v>
      </c>
      <c r="E23" s="77">
        <f>Data!F23</f>
        <v>775</v>
      </c>
      <c r="F23" s="77">
        <f>Data!G23</f>
        <v>44904</v>
      </c>
      <c r="G23" s="77">
        <f>Regresi!$B$20+Regresi!$B$21*C23+Regresi!$B$22*D23+Regresi!$B$23*E23</f>
        <v>60794.711978430394</v>
      </c>
      <c r="H23" s="77">
        <f t="shared" si="0"/>
        <v>-15890.711978430394</v>
      </c>
      <c r="I23" s="78">
        <f t="shared" si="1"/>
        <v>-26.138312792843436</v>
      </c>
      <c r="J23" s="78">
        <f t="shared" si="2"/>
        <v>35.388188086652399</v>
      </c>
      <c r="K23" s="79">
        <f t="shared" si="3"/>
        <v>57.94064516129032</v>
      </c>
      <c r="L23" s="79">
        <f t="shared" si="4"/>
        <v>16.346559883509283</v>
      </c>
      <c r="M23" s="77">
        <f t="shared" si="5"/>
        <v>52345.635768422719</v>
      </c>
      <c r="N23" s="77">
        <f t="shared" si="6"/>
        <v>0</v>
      </c>
      <c r="O23" s="48" t="str">
        <f t="shared" si="7"/>
        <v>Under (di bawah ideal)</v>
      </c>
    </row>
    <row r="24" spans="1:15" ht="15" customHeight="1" x14ac:dyDescent="0.35">
      <c r="A24" s="48">
        <f>Data!C24</f>
        <v>22</v>
      </c>
      <c r="B24" s="7" t="str">
        <f>Data!B24&amp;" "&amp;Data!A24</f>
        <v>Oktober 2025</v>
      </c>
      <c r="C24" s="77">
        <f>Data!D24</f>
        <v>21</v>
      </c>
      <c r="D24" s="77">
        <f>Data!E24</f>
        <v>2456</v>
      </c>
      <c r="E24" s="77">
        <f>Data!F24</f>
        <v>775</v>
      </c>
      <c r="F24" s="77">
        <f>Data!G24</f>
        <v>45540</v>
      </c>
      <c r="G24" s="77">
        <f>Regresi!$B$20+Regresi!$B$21*C24+Regresi!$B$22*D24+Regresi!$B$23*E24</f>
        <v>52518.986202158034</v>
      </c>
      <c r="H24" s="77">
        <f t="shared" si="0"/>
        <v>-6978.9862021580338</v>
      </c>
      <c r="I24" s="78">
        <f t="shared" si="1"/>
        <v>-13.288501372235672</v>
      </c>
      <c r="J24" s="78">
        <f t="shared" si="2"/>
        <v>15.324958722349658</v>
      </c>
      <c r="K24" s="79">
        <f t="shared" si="3"/>
        <v>58.761290322580642</v>
      </c>
      <c r="L24" s="79">
        <f t="shared" si="4"/>
        <v>18.542345276872965</v>
      </c>
      <c r="M24" s="77">
        <f t="shared" si="5"/>
        <v>46800.466489714665</v>
      </c>
      <c r="N24" s="77">
        <f t="shared" si="6"/>
        <v>0</v>
      </c>
      <c r="O24" s="48" t="str">
        <f t="shared" si="7"/>
        <v>Under (di bawah ideal)</v>
      </c>
    </row>
    <row r="25" spans="1:15" ht="15" customHeight="1" x14ac:dyDescent="0.35">
      <c r="A25" s="48">
        <f>Data!C25</f>
        <v>23</v>
      </c>
      <c r="B25" s="7" t="str">
        <f>Data!B25&amp;" "&amp;Data!A25</f>
        <v>November 2025</v>
      </c>
      <c r="C25" s="77">
        <f>Data!D25</f>
        <v>22</v>
      </c>
      <c r="D25" s="77">
        <f>Data!E25</f>
        <v>2463</v>
      </c>
      <c r="E25" s="77">
        <f>Data!F25</f>
        <v>733</v>
      </c>
      <c r="F25" s="77">
        <f>Data!G25</f>
        <v>38491</v>
      </c>
      <c r="G25" s="77">
        <f>Regresi!$B$20+Regresi!$B$21*C25+Regresi!$B$22*D25+Regresi!$B$23*E25</f>
        <v>56823.800666576659</v>
      </c>
      <c r="H25" s="77">
        <f t="shared" si="0"/>
        <v>-18332.800666576659</v>
      </c>
      <c r="I25" s="78">
        <f t="shared" si="1"/>
        <v>-32.262538674854738</v>
      </c>
      <c r="J25" s="78">
        <f t="shared" si="2"/>
        <v>47.628798073774803</v>
      </c>
      <c r="K25" s="79">
        <f t="shared" si="3"/>
        <v>52.511596180081852</v>
      </c>
      <c r="L25" s="79">
        <f t="shared" si="4"/>
        <v>15.627689809175802</v>
      </c>
      <c r="M25" s="77">
        <f t="shared" si="5"/>
        <v>46933.855441436164</v>
      </c>
      <c r="N25" s="77">
        <f t="shared" si="6"/>
        <v>0</v>
      </c>
      <c r="O25" s="48" t="str">
        <f t="shared" si="7"/>
        <v>Under (di bawah ideal)</v>
      </c>
    </row>
    <row r="26" spans="1:15" ht="15" customHeight="1" x14ac:dyDescent="0.35">
      <c r="A26" s="48">
        <f>Data!C26</f>
        <v>24</v>
      </c>
      <c r="B26" s="7" t="str">
        <f>Data!B26&amp;" "&amp;Data!A26</f>
        <v>December 2025</v>
      </c>
      <c r="C26" s="77">
        <f>Data!D26</f>
        <v>22</v>
      </c>
      <c r="D26" s="77">
        <f>Data!E26</f>
        <v>1998</v>
      </c>
      <c r="E26" s="77">
        <f>Data!F26</f>
        <v>729</v>
      </c>
      <c r="F26" s="77">
        <f>Data!G26</f>
        <v>29413</v>
      </c>
      <c r="G26" s="77">
        <f>Regresi!$B$20+Regresi!$B$21*C26+Regresi!$B$22*D26+Regresi!$B$23*E26</f>
        <v>44125.709296740504</v>
      </c>
      <c r="H26" s="77">
        <f t="shared" si="0"/>
        <v>-14712.709296740504</v>
      </c>
      <c r="I26" s="78">
        <f t="shared" si="1"/>
        <v>-33.342714556267332</v>
      </c>
      <c r="J26" s="78">
        <f t="shared" si="2"/>
        <v>50.02111072226738</v>
      </c>
      <c r="K26" s="79">
        <f t="shared" si="3"/>
        <v>40.347050754458159</v>
      </c>
      <c r="L26" s="79">
        <f t="shared" si="4"/>
        <v>14.721221221221221</v>
      </c>
      <c r="M26" s="77">
        <f t="shared" si="5"/>
        <v>38073.017934222276</v>
      </c>
      <c r="N26" s="77">
        <f t="shared" si="6"/>
        <v>0</v>
      </c>
      <c r="O26" s="48" t="str">
        <f t="shared" si="7"/>
        <v>Under (di bawah ideal)</v>
      </c>
    </row>
    <row r="27" spans="1:15" ht="15" customHeight="1" x14ac:dyDescent="0.35">
      <c r="A27" s="48">
        <f>Data!C27</f>
        <v>25</v>
      </c>
      <c r="B27" s="80" t="s">
        <v>98</v>
      </c>
      <c r="C27" s="81">
        <f>Data!D27</f>
        <v>20</v>
      </c>
      <c r="D27" s="81">
        <f>Data!E27</f>
        <v>2485</v>
      </c>
      <c r="E27" s="81">
        <f>Data!F27</f>
        <v>730</v>
      </c>
      <c r="F27" s="82">
        <f>Data!G27</f>
        <v>62983</v>
      </c>
      <c r="G27" s="81">
        <f>Regresi!$B$20+Regresi!$B$21*C27+Regresi!$B$22*D27+Regresi!$B$23*E27</f>
        <v>60678.614676520141</v>
      </c>
      <c r="H27" s="81">
        <f t="shared" si="0"/>
        <v>2304.3853234798589</v>
      </c>
      <c r="I27" s="83">
        <f t="shared" si="1"/>
        <v>3.7976894096291076</v>
      </c>
      <c r="J27" s="83">
        <f t="shared" si="2"/>
        <v>3.6587417612369353</v>
      </c>
      <c r="K27" s="84">
        <f t="shared" si="3"/>
        <v>86.278082191780825</v>
      </c>
      <c r="L27" s="84">
        <f t="shared" si="4"/>
        <v>25.345271629778672</v>
      </c>
      <c r="M27" s="81">
        <f t="shared" si="5"/>
        <v>47353.077861132311</v>
      </c>
      <c r="N27" s="81">
        <f t="shared" si="6"/>
        <v>15629.922138867689</v>
      </c>
      <c r="O27" s="85" t="str">
        <f t="shared" si="7"/>
        <v>Over (di atas ideal)</v>
      </c>
    </row>
    <row r="28" spans="1:15" ht="15" customHeight="1" x14ac:dyDescent="0.35">
      <c r="A28" s="48">
        <f>Data!C28</f>
        <v>26</v>
      </c>
      <c r="B28" s="80" t="s">
        <v>105</v>
      </c>
      <c r="C28" s="81">
        <f>Data!D28</f>
        <v>20</v>
      </c>
      <c r="D28" s="81">
        <f>Data!E28</f>
        <v>2290</v>
      </c>
      <c r="E28" s="81">
        <f>Data!F28</f>
        <v>730</v>
      </c>
      <c r="F28" s="82">
        <v>58430</v>
      </c>
      <c r="G28" s="81">
        <f>Regresi!$B$20+Regresi!$B$21*C28+Regresi!$B$22*D28+Regresi!$B$23*E28</f>
        <v>55133.025238811824</v>
      </c>
      <c r="H28" s="81">
        <f t="shared" si="0"/>
        <v>3296.9747611881758</v>
      </c>
      <c r="I28" s="83">
        <f t="shared" si="1"/>
        <v>5.9800360072880867</v>
      </c>
      <c r="J28" s="83">
        <f t="shared" si="2"/>
        <v>5.6426061290230631</v>
      </c>
      <c r="K28" s="84">
        <f t="shared" si="3"/>
        <v>80.041095890410958</v>
      </c>
      <c r="L28" s="84">
        <f t="shared" si="4"/>
        <v>25.515283842794759</v>
      </c>
      <c r="M28" s="81">
        <f t="shared" si="5"/>
        <v>43637.242777461965</v>
      </c>
      <c r="N28" s="81">
        <f t="shared" si="6"/>
        <v>14792.757222538035</v>
      </c>
      <c r="O28" s="85" t="str">
        <f t="shared" si="7"/>
        <v>Over (di atas ideal)</v>
      </c>
    </row>
    <row r="29" spans="1:15" ht="15" customHeight="1" x14ac:dyDescent="0.35">
      <c r="A29" s="48">
        <f>Data!C29</f>
        <v>27</v>
      </c>
      <c r="B29" s="80" t="s">
        <v>106</v>
      </c>
      <c r="C29" s="81">
        <f>Data!D29</f>
        <v>19</v>
      </c>
      <c r="D29" s="81">
        <f>Data!E29</f>
        <v>2173</v>
      </c>
      <c r="E29" s="81">
        <f>Data!F29</f>
        <v>730</v>
      </c>
      <c r="F29" s="82">
        <f>Data!G29</f>
        <v>62758</v>
      </c>
      <c r="G29" s="81">
        <f>Regresi!$B$20+Regresi!$B$21*C29+Regresi!$B$22*D29+Regresi!$B$23*E29</f>
        <v>53222.998014000099</v>
      </c>
      <c r="H29" s="81">
        <f t="shared" si="0"/>
        <v>9535.0019859999011</v>
      </c>
      <c r="I29" s="83">
        <f t="shared" si="1"/>
        <v>17.915191443164769</v>
      </c>
      <c r="J29" s="83">
        <f t="shared" si="2"/>
        <v>15.193285295898374</v>
      </c>
      <c r="K29" s="84">
        <f t="shared" si="3"/>
        <v>85.969863013698628</v>
      </c>
      <c r="L29" s="84">
        <f t="shared" si="4"/>
        <v>28.880809940174874</v>
      </c>
      <c r="M29" s="81">
        <f t="shared" si="5"/>
        <v>41407.74172725976</v>
      </c>
      <c r="N29" s="81">
        <f t="shared" si="6"/>
        <v>21350.25827274024</v>
      </c>
      <c r="O29" s="85" t="str">
        <f t="shared" si="7"/>
        <v>Over (di atas ideal)</v>
      </c>
    </row>
    <row r="30" spans="1:15" ht="15" customHeight="1" x14ac:dyDescent="0.35">
      <c r="A30" s="48">
        <f>Data!C30</f>
        <v>28</v>
      </c>
      <c r="B30" s="80" t="s">
        <v>107</v>
      </c>
      <c r="C30" s="81">
        <f>Data!D30</f>
        <v>17</v>
      </c>
      <c r="D30" s="81">
        <f>Data!E30</f>
        <v>3283</v>
      </c>
      <c r="E30" s="81">
        <f>Data!F30</f>
        <v>730</v>
      </c>
      <c r="F30" s="82">
        <v>86773</v>
      </c>
      <c r="G30" s="81">
        <f>Regresi!$B$20+Regresi!$B$21*C30+Regresi!$B$22*D30+Regresi!$B$23*E30</f>
        <v>87624.852304273838</v>
      </c>
      <c r="H30" s="81">
        <f t="shared" si="0"/>
        <v>-851.85230427383794</v>
      </c>
      <c r="I30" s="83">
        <f t="shared" si="1"/>
        <v>-0.9721583339345492</v>
      </c>
      <c r="J30" s="83">
        <f t="shared" si="2"/>
        <v>0.98170203205356266</v>
      </c>
      <c r="K30" s="84">
        <f t="shared" si="3"/>
        <v>118.86712328767123</v>
      </c>
      <c r="L30" s="84">
        <f t="shared" si="4"/>
        <v>26.431008224185195</v>
      </c>
      <c r="M30" s="81">
        <f t="shared" si="5"/>
        <v>62559.418357383249</v>
      </c>
      <c r="N30" s="81">
        <f t="shared" si="6"/>
        <v>24213.581642616751</v>
      </c>
      <c r="O30" s="85" t="str">
        <f t="shared" si="7"/>
        <v>Under (di bawah ideal)</v>
      </c>
    </row>
    <row r="31" spans="1:15" ht="15" customHeight="1" x14ac:dyDescent="0.35">
      <c r="A31" s="48">
        <f>Data!C31</f>
        <v>29</v>
      </c>
      <c r="B31" s="80" t="s">
        <v>108</v>
      </c>
      <c r="C31" s="81">
        <f>Data!D31</f>
        <v>21</v>
      </c>
      <c r="D31" s="81">
        <f>Data!E31</f>
        <v>2889</v>
      </c>
      <c r="E31" s="81">
        <f>Data!F31</f>
        <v>704</v>
      </c>
      <c r="F31" s="82">
        <v>84938</v>
      </c>
      <c r="G31" s="81">
        <f>Regresi!$B$20+Regresi!$B$21*C31+Regresi!$B$22*D31+Regresi!$B$23*E31</f>
        <v>74169.654377374449</v>
      </c>
      <c r="H31" s="81">
        <f t="shared" si="0"/>
        <v>10768.345622625551</v>
      </c>
      <c r="I31" s="83">
        <f t="shared" si="1"/>
        <v>14.518532832627637</v>
      </c>
      <c r="J31" s="83">
        <f t="shared" si="2"/>
        <v>12.677889310586016</v>
      </c>
      <c r="K31" s="84">
        <f t="shared" si="3"/>
        <v>120.65056818181819</v>
      </c>
      <c r="L31" s="84">
        <f t="shared" si="4"/>
        <v>29.400484596746278</v>
      </c>
      <c r="M31" s="81">
        <f t="shared" si="5"/>
        <v>55051.525931915989</v>
      </c>
      <c r="N31" s="81">
        <f t="shared" si="6"/>
        <v>29886.474068084011</v>
      </c>
      <c r="O31" s="85" t="str">
        <f t="shared" si="7"/>
        <v>Over (di atas ideal)</v>
      </c>
    </row>
    <row r="32" spans="1:15" ht="15" customHeight="1" x14ac:dyDescent="0.35">
      <c r="A32" s="48">
        <f>Data!C32</f>
        <v>30</v>
      </c>
      <c r="B32" s="86" t="s">
        <v>109</v>
      </c>
      <c r="C32" s="87">
        <f>Data!D32</f>
        <v>20</v>
      </c>
      <c r="D32" s="87">
        <f>Data!E32</f>
        <v>3698</v>
      </c>
      <c r="E32" s="87">
        <f>Data!F32</f>
        <v>714</v>
      </c>
      <c r="F32" s="82">
        <f>Data!G32</f>
        <v>84449</v>
      </c>
      <c r="G32" s="87">
        <f>Regresi!$B$20+Regresi!$B$21*C32+Regresi!$B$22*D32+Regresi!$B$23*E32</f>
        <v>97279.050951419675</v>
      </c>
      <c r="H32" s="87">
        <f t="shared" si="0"/>
        <v>-12830.050951419675</v>
      </c>
      <c r="I32" s="88">
        <f t="shared" si="1"/>
        <v>-13.188914597683413</v>
      </c>
      <c r="J32" s="88">
        <f t="shared" si="2"/>
        <v>15.192661785716439</v>
      </c>
      <c r="K32" s="89">
        <f t="shared" si="3"/>
        <v>118.27591036414566</v>
      </c>
      <c r="L32" s="89">
        <f t="shared" si="4"/>
        <v>22.836398053001624</v>
      </c>
      <c r="M32" s="87">
        <f t="shared" si="5"/>
        <v>70467.477638015</v>
      </c>
      <c r="N32" s="87">
        <f t="shared" si="6"/>
        <v>13981.522361985</v>
      </c>
      <c r="O32" s="90" t="str">
        <f t="shared" si="7"/>
        <v>Under (di bawah ideal)</v>
      </c>
    </row>
    <row r="33" spans="1:15" x14ac:dyDescent="0.35">
      <c r="E33" s="91"/>
      <c r="G33" s="91"/>
    </row>
    <row r="34" spans="1:15" ht="15" customHeight="1" x14ac:dyDescent="0.35">
      <c r="A34" s="56" t="s">
        <v>254</v>
      </c>
      <c r="F34" s="91"/>
    </row>
    <row r="35" spans="1:15" ht="15" customHeight="1" x14ac:dyDescent="0.35">
      <c r="A35" s="52" t="s">
        <v>255</v>
      </c>
      <c r="C35" s="64">
        <f>AVERAGE(L3:L32)</f>
        <v>24.525031709354753</v>
      </c>
    </row>
    <row r="36" spans="1:15" ht="15" customHeight="1" x14ac:dyDescent="0.35">
      <c r="A36" s="52" t="s">
        <v>256</v>
      </c>
      <c r="C36" s="64">
        <f>QUARTILE(L3:L32,1)</f>
        <v>19.05556453164278</v>
      </c>
    </row>
    <row r="37" spans="1:15" ht="15" customHeight="1" x14ac:dyDescent="0.35">
      <c r="A37" s="52" t="s">
        <v>257</v>
      </c>
      <c r="C37" s="64">
        <f>AVERAGE(K3:K32)</f>
        <v>93.651672351001849</v>
      </c>
    </row>
    <row r="38" spans="1:15" ht="15" customHeight="1" x14ac:dyDescent="0.35">
      <c r="A38" s="52" t="s">
        <v>66</v>
      </c>
      <c r="C38" s="64">
        <f>QUARTILE(K3:K32,1)</f>
        <v>76.138198253261066</v>
      </c>
    </row>
    <row r="39" spans="1:15" ht="15" customHeight="1" x14ac:dyDescent="0.35">
      <c r="A39" s="52" t="s">
        <v>258</v>
      </c>
      <c r="C39" s="92">
        <f>SUM(F3:F32)</f>
        <v>2058885</v>
      </c>
    </row>
    <row r="40" spans="1:15" ht="15" customHeight="1" x14ac:dyDescent="0.35">
      <c r="A40" s="52" t="s">
        <v>259</v>
      </c>
      <c r="C40" s="92">
        <f>SUM(M3:M32)</f>
        <v>1583841.3571765528</v>
      </c>
    </row>
    <row r="41" spans="1:15" ht="15" customHeight="1" x14ac:dyDescent="0.35">
      <c r="A41" s="52" t="s">
        <v>260</v>
      </c>
      <c r="C41" s="92">
        <f>SUM(N3:N32)</f>
        <v>510887.76353131636</v>
      </c>
    </row>
    <row r="42" spans="1:15" ht="15" customHeight="1" x14ac:dyDescent="0.35">
      <c r="A42" s="52" t="s">
        <v>261</v>
      </c>
      <c r="C42" s="64">
        <f>C41/C39*100</f>
        <v>24.813807644978539</v>
      </c>
    </row>
    <row r="43" spans="1:15" ht="15" customHeight="1" x14ac:dyDescent="0.35">
      <c r="A43" s="52" t="s">
        <v>262</v>
      </c>
      <c r="C43" s="64">
        <f>AVERAGE(J3:J32)</f>
        <v>17.024695740109539</v>
      </c>
    </row>
    <row r="44" spans="1:15" ht="15" customHeight="1" x14ac:dyDescent="0.35">
      <c r="A44" s="52" t="s">
        <v>263</v>
      </c>
      <c r="C44" s="92" t="str">
        <f>INDEX(B3:B32,MATCH(MAX(H3:H32),H3:H32,0))</f>
        <v>Januari 2024</v>
      </c>
    </row>
    <row r="45" spans="1:15" ht="15" customHeight="1" x14ac:dyDescent="0.35">
      <c r="A45" s="52" t="s">
        <v>264</v>
      </c>
      <c r="C45" s="92" t="str">
        <f>INDEX(B3:B32,MATCH(MIN(H3:H32),H3:H32,0))</f>
        <v>November 2025</v>
      </c>
    </row>
    <row r="47" spans="1:15" ht="15" customHeight="1" x14ac:dyDescent="0.35">
      <c r="A47" s="120" t="s">
        <v>265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1:15" ht="15" customHeight="1" x14ac:dyDescent="0.35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</row>
    <row r="49" spans="1:15" ht="15" customHeight="1" x14ac:dyDescent="0.35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</row>
  </sheetData>
  <mergeCells count="1">
    <mergeCell ref="A47:O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4CE4-6C90-47EF-B2D0-A4D9BB7408C7}">
  <dimension ref="B2:D14"/>
  <sheetViews>
    <sheetView showGridLines="0" workbookViewId="0">
      <selection activeCell="O9" sqref="O9"/>
    </sheetView>
  </sheetViews>
  <sheetFormatPr defaultRowHeight="14.5" x14ac:dyDescent="0.35"/>
  <cols>
    <col min="2" max="2" width="11.26953125" customWidth="1"/>
    <col min="3" max="3" width="12.36328125" customWidth="1"/>
    <col min="4" max="4" width="16.08984375" customWidth="1"/>
  </cols>
  <sheetData>
    <row r="2" spans="2:4" s="135" customFormat="1" ht="29" customHeight="1" x14ac:dyDescent="0.35">
      <c r="B2" s="134" t="s">
        <v>188</v>
      </c>
      <c r="C2" s="134" t="s">
        <v>294</v>
      </c>
      <c r="D2" s="134" t="s">
        <v>296</v>
      </c>
    </row>
    <row r="3" spans="2:4" x14ac:dyDescent="0.35">
      <c r="B3" s="133" t="s">
        <v>98</v>
      </c>
      <c r="C3" s="137">
        <v>62983</v>
      </c>
      <c r="D3" s="136">
        <v>60678.614676520141</v>
      </c>
    </row>
    <row r="4" spans="2:4" x14ac:dyDescent="0.35">
      <c r="B4" s="133" t="s">
        <v>105</v>
      </c>
      <c r="C4" s="137">
        <v>58430</v>
      </c>
      <c r="D4" s="136">
        <v>55133.025238811824</v>
      </c>
    </row>
    <row r="5" spans="2:4" x14ac:dyDescent="0.35">
      <c r="B5" s="133" t="s">
        <v>106</v>
      </c>
      <c r="C5" s="137">
        <v>62758</v>
      </c>
      <c r="D5" s="136">
        <v>53222.998014000099</v>
      </c>
    </row>
    <row r="6" spans="2:4" x14ac:dyDescent="0.35">
      <c r="B6" s="133" t="s">
        <v>107</v>
      </c>
      <c r="C6" s="137">
        <v>86773</v>
      </c>
      <c r="D6" s="136">
        <v>87624.852304273838</v>
      </c>
    </row>
    <row r="7" spans="2:4" x14ac:dyDescent="0.35">
      <c r="B7" s="133" t="s">
        <v>108</v>
      </c>
      <c r="C7" s="137">
        <v>84938</v>
      </c>
      <c r="D7" s="136">
        <v>74169.654377374449</v>
      </c>
    </row>
    <row r="8" spans="2:4" x14ac:dyDescent="0.35">
      <c r="B8" s="133" t="s">
        <v>109</v>
      </c>
      <c r="C8" s="136"/>
      <c r="D8" s="136">
        <v>97279.050951419675</v>
      </c>
    </row>
    <row r="9" spans="2:4" x14ac:dyDescent="0.35">
      <c r="B9" s="133" t="s">
        <v>110</v>
      </c>
      <c r="C9" s="136"/>
      <c r="D9" s="136">
        <v>69943.302587330982</v>
      </c>
    </row>
    <row r="10" spans="2:4" x14ac:dyDescent="0.35">
      <c r="B10" s="133" t="s">
        <v>111</v>
      </c>
      <c r="C10" s="136"/>
      <c r="D10" s="136">
        <v>64976.452186261304</v>
      </c>
    </row>
    <row r="11" spans="2:4" x14ac:dyDescent="0.35">
      <c r="B11" s="133" t="s">
        <v>112</v>
      </c>
      <c r="C11" s="136"/>
      <c r="D11" s="136">
        <v>81655.518135146296</v>
      </c>
    </row>
    <row r="12" spans="2:4" x14ac:dyDescent="0.35">
      <c r="B12" s="133" t="s">
        <v>115</v>
      </c>
      <c r="C12" s="133"/>
      <c r="D12" s="136">
        <v>86286.442554811016</v>
      </c>
    </row>
    <row r="13" spans="2:4" x14ac:dyDescent="0.35">
      <c r="B13" s="133" t="s">
        <v>117</v>
      </c>
      <c r="C13" s="133"/>
      <c r="D13" s="136">
        <v>74683.363115913642</v>
      </c>
    </row>
    <row r="14" spans="2:4" x14ac:dyDescent="0.35">
      <c r="B14" s="133" t="s">
        <v>295</v>
      </c>
      <c r="C14" s="133"/>
      <c r="D14" s="136">
        <v>77930.019589814037</v>
      </c>
    </row>
  </sheetData>
  <phoneticPr fontId="3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showGridLines="0" zoomScaleNormal="100" workbookViewId="0">
      <pane ySplit="5" topLeftCell="A6" activePane="bottomLeft" state="frozen"/>
      <selection pane="bottomLeft" activeCell="G12" sqref="G12"/>
    </sheetView>
  </sheetViews>
  <sheetFormatPr defaultColWidth="8.6328125" defaultRowHeight="14.5" x14ac:dyDescent="0.35"/>
  <cols>
    <col min="1" max="1" width="6" customWidth="1"/>
    <col min="2" max="2" width="16" customWidth="1"/>
    <col min="3" max="4" width="20" customWidth="1"/>
    <col min="5" max="5" width="18" customWidth="1"/>
    <col min="6" max="6" width="26" customWidth="1"/>
    <col min="7" max="7" width="24" customWidth="1"/>
    <col min="8" max="8" width="20" customWidth="1"/>
  </cols>
  <sheetData>
    <row r="1" spans="1:10" ht="18" x14ac:dyDescent="0.4">
      <c r="A1" s="126" t="s">
        <v>266</v>
      </c>
      <c r="B1" s="126"/>
      <c r="C1" s="126"/>
      <c r="D1" s="126"/>
      <c r="E1" s="126"/>
      <c r="F1" s="126"/>
      <c r="G1" s="126"/>
      <c r="H1" s="126"/>
    </row>
    <row r="2" spans="1:10" x14ac:dyDescent="0.35">
      <c r="A2" s="127" t="s">
        <v>267</v>
      </c>
      <c r="B2" s="127"/>
      <c r="C2" s="127"/>
      <c r="D2" s="127"/>
      <c r="E2" s="127"/>
      <c r="F2" s="127"/>
      <c r="G2" s="127"/>
      <c r="H2" s="127"/>
    </row>
    <row r="3" spans="1:10" x14ac:dyDescent="0.35">
      <c r="A3" s="93" t="s">
        <v>268</v>
      </c>
      <c r="B3" s="128" t="s">
        <v>269</v>
      </c>
      <c r="C3" s="128"/>
      <c r="D3" s="128"/>
      <c r="E3" s="129" t="s">
        <v>270</v>
      </c>
      <c r="F3" s="129"/>
      <c r="G3" s="129"/>
      <c r="H3" s="129"/>
    </row>
    <row r="5" spans="1:10" ht="31.5" customHeight="1" x14ac:dyDescent="0.35">
      <c r="A5" s="94" t="s">
        <v>92</v>
      </c>
      <c r="B5" s="94" t="s">
        <v>188</v>
      </c>
      <c r="C5" s="94" t="s">
        <v>93</v>
      </c>
      <c r="D5" s="94" t="s">
        <v>94</v>
      </c>
      <c r="E5" s="94" t="s">
        <v>95</v>
      </c>
      <c r="F5" s="94" t="s">
        <v>271</v>
      </c>
      <c r="G5" s="94" t="s">
        <v>252</v>
      </c>
      <c r="H5" s="94" t="s">
        <v>272</v>
      </c>
      <c r="J5">
        <f>23*60</f>
        <v>1380</v>
      </c>
    </row>
    <row r="6" spans="1:10" x14ac:dyDescent="0.35">
      <c r="A6" s="95">
        <v>31</v>
      </c>
      <c r="B6" s="96" t="s">
        <v>273</v>
      </c>
      <c r="C6" s="97">
        <v>23</v>
      </c>
      <c r="D6" s="97">
        <v>3714</v>
      </c>
      <c r="E6" s="97">
        <v>893</v>
      </c>
      <c r="F6" s="138">
        <f>Regresi!$B$20+Regresi!$B$21*C6+Regresi!$B$22*D6+Regresi!$B$23*E6</f>
        <v>69943.302587330982</v>
      </c>
      <c r="G6" s="98">
        <f>'Index Ideal'!$C$36*D6</f>
        <v>70772.366670521282</v>
      </c>
      <c r="H6" s="98">
        <f t="shared" ref="H6:H11" si="0">F6-G6</f>
        <v>-829.06408319030015</v>
      </c>
      <c r="J6">
        <f>J5+38</f>
        <v>1418</v>
      </c>
    </row>
    <row r="7" spans="1:10" x14ac:dyDescent="0.35">
      <c r="A7" s="95">
        <v>32</v>
      </c>
      <c r="B7" s="96" t="s">
        <v>274</v>
      </c>
      <c r="C7" s="97">
        <v>19</v>
      </c>
      <c r="D7" s="97">
        <v>3340</v>
      </c>
      <c r="E7" s="97">
        <v>893</v>
      </c>
      <c r="F7" s="138">
        <f>Regresi!$B$20+Regresi!$B$21*C7+Regresi!$B$22*D7+Regresi!$B$23*E7</f>
        <v>64976.452186261304</v>
      </c>
      <c r="G7" s="98">
        <f>'Index Ideal'!$C$36*D7</f>
        <v>63645.585535686885</v>
      </c>
      <c r="H7" s="98">
        <f t="shared" si="0"/>
        <v>1330.8666505744186</v>
      </c>
      <c r="J7">
        <f>J6/4</f>
        <v>354.5</v>
      </c>
    </row>
    <row r="8" spans="1:10" x14ac:dyDescent="0.35">
      <c r="A8" s="95">
        <v>33</v>
      </c>
      <c r="B8" s="96" t="s">
        <v>275</v>
      </c>
      <c r="C8" s="97">
        <v>22</v>
      </c>
      <c r="D8" s="97">
        <v>4076</v>
      </c>
      <c r="E8" s="97">
        <v>893</v>
      </c>
      <c r="F8" s="138">
        <f>Regresi!$B$20+Regresi!$B$21*C8+Regresi!$B$22*D8+Regresi!$B$23*E8</f>
        <v>81655.518135146296</v>
      </c>
      <c r="G8" s="98">
        <f>'Index Ideal'!$C$36*D8</f>
        <v>77670.481030975978</v>
      </c>
      <c r="H8" s="98">
        <f t="shared" si="0"/>
        <v>3985.0371041703183</v>
      </c>
      <c r="J8">
        <f>J7/60</f>
        <v>5.9083333333333332</v>
      </c>
    </row>
    <row r="9" spans="1:10" x14ac:dyDescent="0.35">
      <c r="A9" s="95">
        <v>34</v>
      </c>
      <c r="B9" s="96" t="s">
        <v>276</v>
      </c>
      <c r="C9" s="97">
        <v>21</v>
      </c>
      <c r="D9" s="97">
        <v>4189</v>
      </c>
      <c r="E9" s="97">
        <v>893</v>
      </c>
      <c r="F9" s="138">
        <f>Regresi!$B$20+Regresi!$B$21*C9+Regresi!$B$22*D9+Regresi!$B$23*E9</f>
        <v>86286.442554811016</v>
      </c>
      <c r="G9" s="98">
        <f>'Index Ideal'!$C$36*D9</f>
        <v>79823.759823051601</v>
      </c>
      <c r="H9" s="98">
        <f t="shared" si="0"/>
        <v>6462.6827317594143</v>
      </c>
    </row>
    <row r="10" spans="1:10" x14ac:dyDescent="0.35">
      <c r="A10" s="95">
        <v>35</v>
      </c>
      <c r="B10" s="96" t="s">
        <v>277</v>
      </c>
      <c r="C10" s="97">
        <v>21</v>
      </c>
      <c r="D10" s="97">
        <v>3781</v>
      </c>
      <c r="E10" s="97">
        <v>893</v>
      </c>
      <c r="F10" s="138">
        <f>Regresi!$B$20+Regresi!$B$21*C10+Regresi!$B$22*D10+Regresi!$B$23*E10</f>
        <v>74683.363115913642</v>
      </c>
      <c r="G10" s="98">
        <f>'Index Ideal'!$C$36*D10</f>
        <v>72049.089494141357</v>
      </c>
      <c r="H10" s="98">
        <f t="shared" si="0"/>
        <v>2634.273621772285</v>
      </c>
    </row>
    <row r="11" spans="1:10" x14ac:dyDescent="0.35">
      <c r="A11" s="95">
        <v>36</v>
      </c>
      <c r="B11" s="96" t="s">
        <v>278</v>
      </c>
      <c r="C11" s="97">
        <v>22</v>
      </c>
      <c r="D11" s="97">
        <v>3945</v>
      </c>
      <c r="E11" s="97">
        <v>893</v>
      </c>
      <c r="F11" s="138">
        <f>Regresi!$B$20+Regresi!$B$21*C11+Regresi!$B$22*D11+Regresi!$B$23*E11</f>
        <v>77930.019589814037</v>
      </c>
      <c r="G11" s="98">
        <f>'Index Ideal'!$C$36*D11</f>
        <v>75174.202077330774</v>
      </c>
      <c r="H11" s="98">
        <f t="shared" si="0"/>
        <v>2755.8175124832633</v>
      </c>
    </row>
    <row r="13" spans="1:10" x14ac:dyDescent="0.35">
      <c r="A13" s="130" t="s">
        <v>279</v>
      </c>
      <c r="B13" s="130"/>
      <c r="C13" s="130"/>
      <c r="D13" s="130"/>
      <c r="E13" s="130"/>
      <c r="F13" s="130"/>
      <c r="G13" s="130"/>
      <c r="H13" s="130"/>
    </row>
    <row r="14" spans="1:10" x14ac:dyDescent="0.35">
      <c r="A14" s="124" t="str">
        <f>Regresi!A42</f>
        <v>Y = 114350,61667 + (-1417,32644 x X1) + (28,43892 x X2) + (-131,50163 x X3)</v>
      </c>
      <c r="B14" s="124"/>
      <c r="C14" s="124"/>
      <c r="D14" s="124"/>
      <c r="E14" s="124"/>
      <c r="F14" s="124"/>
      <c r="G14" s="124"/>
      <c r="H14" s="124"/>
    </row>
    <row r="16" spans="1:10" x14ac:dyDescent="0.35">
      <c r="A16" s="125" t="s">
        <v>280</v>
      </c>
      <c r="B16" s="125"/>
      <c r="C16" s="125"/>
      <c r="D16" s="125"/>
      <c r="E16" s="125"/>
      <c r="F16" s="125"/>
      <c r="G16" s="125"/>
      <c r="H16" s="125"/>
    </row>
    <row r="17" spans="1:8" x14ac:dyDescent="0.35">
      <c r="A17" s="123" t="s">
        <v>281</v>
      </c>
      <c r="B17" s="123"/>
      <c r="C17" s="123"/>
      <c r="D17" s="123"/>
      <c r="E17" s="123"/>
      <c r="F17" s="123"/>
      <c r="G17" s="123"/>
      <c r="H17" s="123"/>
    </row>
    <row r="18" spans="1:8" x14ac:dyDescent="0.35">
      <c r="A18" s="123" t="s">
        <v>282</v>
      </c>
      <c r="B18" s="123"/>
      <c r="C18" s="123"/>
      <c r="D18" s="123"/>
      <c r="E18" s="123"/>
      <c r="F18" s="123"/>
      <c r="G18" s="123"/>
      <c r="H18" s="123"/>
    </row>
    <row r="19" spans="1:8" x14ac:dyDescent="0.35">
      <c r="A19" s="123" t="s">
        <v>283</v>
      </c>
      <c r="B19" s="123"/>
      <c r="C19" s="123"/>
      <c r="D19" s="123"/>
      <c r="E19" s="123"/>
      <c r="F19" s="123"/>
      <c r="G19" s="123"/>
      <c r="H19" s="123"/>
    </row>
    <row r="20" spans="1:8" x14ac:dyDescent="0.35">
      <c r="A20" s="123" t="s">
        <v>284</v>
      </c>
      <c r="B20" s="123"/>
      <c r="C20" s="123"/>
      <c r="D20" s="123"/>
      <c r="E20" s="123"/>
      <c r="F20" s="123"/>
      <c r="G20" s="123"/>
      <c r="H20" s="123"/>
    </row>
    <row r="21" spans="1:8" x14ac:dyDescent="0.35">
      <c r="A21" s="123" t="s">
        <v>285</v>
      </c>
      <c r="B21" s="123"/>
      <c r="C21" s="123"/>
      <c r="D21" s="123"/>
      <c r="E21" s="123"/>
      <c r="F21" s="123"/>
      <c r="G21" s="123"/>
      <c r="H21" s="123"/>
    </row>
  </sheetData>
  <mergeCells count="12">
    <mergeCell ref="A1:H1"/>
    <mergeCell ref="A2:H2"/>
    <mergeCell ref="B3:D3"/>
    <mergeCell ref="E3:H3"/>
    <mergeCell ref="A13:H13"/>
    <mergeCell ref="A20:H20"/>
    <mergeCell ref="A21:H21"/>
    <mergeCell ref="A14:H14"/>
    <mergeCell ref="A16:H16"/>
    <mergeCell ref="A17:H17"/>
    <mergeCell ref="A18:H18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EC9A-525A-495C-A9A3-EB6F4AD4914C}">
  <dimension ref="B2:H4"/>
  <sheetViews>
    <sheetView showGridLines="0" workbookViewId="0">
      <selection activeCell="K10" sqref="K10"/>
    </sheetView>
  </sheetViews>
  <sheetFormatPr defaultRowHeight="14.5" x14ac:dyDescent="0.35"/>
  <sheetData>
    <row r="2" spans="2:8" x14ac:dyDescent="0.35">
      <c r="B2" s="131" t="s">
        <v>290</v>
      </c>
      <c r="C2" s="132" t="s">
        <v>292</v>
      </c>
      <c r="D2" s="132" t="s">
        <v>293</v>
      </c>
      <c r="F2" s="131" t="s">
        <v>291</v>
      </c>
      <c r="G2" s="132" t="s">
        <v>292</v>
      </c>
      <c r="H2" s="132" t="s">
        <v>293</v>
      </c>
    </row>
    <row r="3" spans="2:8" x14ac:dyDescent="0.35">
      <c r="B3" t="s">
        <v>288</v>
      </c>
      <c r="C3">
        <f>5*60+15</f>
        <v>315</v>
      </c>
      <c r="D3" s="132">
        <f>C3/60</f>
        <v>5.25</v>
      </c>
      <c r="F3" t="s">
        <v>288</v>
      </c>
      <c r="G3" s="132">
        <f>C3*70%</f>
        <v>220.5</v>
      </c>
      <c r="H3" s="132">
        <f>G3/60</f>
        <v>3.6749999999999998</v>
      </c>
    </row>
    <row r="4" spans="2:8" x14ac:dyDescent="0.35">
      <c r="B4" t="s">
        <v>289</v>
      </c>
      <c r="C4">
        <f>C3*4</f>
        <v>1260</v>
      </c>
      <c r="D4" s="132">
        <f>C4/60</f>
        <v>21</v>
      </c>
      <c r="F4" t="s">
        <v>289</v>
      </c>
      <c r="G4" s="132">
        <f>C4*70%</f>
        <v>882</v>
      </c>
      <c r="H4" s="132">
        <f>G4/60</f>
        <v>14.7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Data</vt:lpstr>
      <vt:lpstr>Korelasi Pearson</vt:lpstr>
      <vt:lpstr>Regresi</vt:lpstr>
      <vt:lpstr>Uji Asumsi Klasik</vt:lpstr>
      <vt:lpstr>Index Ideal</vt:lpstr>
      <vt:lpstr>Grafik</vt:lpstr>
      <vt:lpstr>Forecasting</vt:lpstr>
      <vt:lpstr>Lead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Karlina Ibrahim</cp:lastModifiedBy>
  <cp:revision>4</cp:revision>
  <dcterms:created xsi:type="dcterms:W3CDTF">2026-09-16T15:57:36Z</dcterms:created>
  <dcterms:modified xsi:type="dcterms:W3CDTF">2026-09-21T03:17:55Z</dcterms:modified>
  <dc:language>en-US</dc:language>
</cp:coreProperties>
</file>